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6396" activeTab="1"/>
  </bookViews>
  <sheets>
    <sheet name="Riepilogo Alfa" sheetId="1" r:id="rId1"/>
    <sheet name="Dettaglio Alfa" sheetId="3" r:id="rId2"/>
  </sheets>
  <calcPr calcId="145621"/>
</workbook>
</file>

<file path=xl/calcChain.xml><?xml version="1.0" encoding="utf-8"?>
<calcChain xmlns="http://schemas.openxmlformats.org/spreadsheetml/2006/main">
  <c r="C41" i="1" l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L23" i="3"/>
  <c r="L24" i="3" s="1"/>
  <c r="L22" i="3"/>
  <c r="I21" i="3"/>
  <c r="L17" i="3"/>
  <c r="L18" i="3" s="1"/>
  <c r="L16" i="3"/>
  <c r="I15" i="3"/>
  <c r="L11" i="3"/>
  <c r="L12" i="3" s="1"/>
  <c r="L10" i="3"/>
  <c r="I9" i="3"/>
  <c r="L5" i="3"/>
  <c r="L6" i="3" s="1"/>
  <c r="L4" i="3"/>
  <c r="I3" i="3"/>
  <c r="H5" i="1" l="1"/>
  <c r="H4" i="1"/>
  <c r="H6" i="1" l="1"/>
</calcChain>
</file>

<file path=xl/comments1.xml><?xml version="1.0" encoding="utf-8"?>
<comments xmlns="http://schemas.openxmlformats.org/spreadsheetml/2006/main">
  <authors>
    <author>Autore</author>
  </authors>
  <commentList>
    <comment ref="C41" authorId="0">
      <text>
        <r>
          <rPr>
            <b/>
            <sz val="9"/>
            <color indexed="81"/>
            <rFont val="Tahoma"/>
            <charset val="1"/>
          </rPr>
          <t>Autore:</t>
        </r>
        <r>
          <rPr>
            <sz val="9"/>
            <color indexed="81"/>
            <rFont val="Tahoma"/>
            <family val="2"/>
          </rPr>
          <t xml:space="preserve">
Se abilitato, da' errori in fase di Link</t>
        </r>
      </text>
    </comment>
  </commentList>
</comments>
</file>

<file path=xl/sharedStrings.xml><?xml version="1.0" encoding="utf-8"?>
<sst xmlns="http://schemas.openxmlformats.org/spreadsheetml/2006/main" count="590" uniqueCount="156">
  <si>
    <t>1.1</t>
  </si>
  <si>
    <t>1.2</t>
  </si>
  <si>
    <t>1.3</t>
  </si>
  <si>
    <t>1.4</t>
  </si>
  <si>
    <t>1.5</t>
  </si>
  <si>
    <t>2.1</t>
  </si>
  <si>
    <t>2.2</t>
  </si>
  <si>
    <t>2.3</t>
  </si>
  <si>
    <t>2.4</t>
  </si>
  <si>
    <t>3.1</t>
  </si>
  <si>
    <t>3.2</t>
  </si>
  <si>
    <t>3.3</t>
  </si>
  <si>
    <t>3.4</t>
  </si>
  <si>
    <t>3.6</t>
  </si>
  <si>
    <t>4.1</t>
  </si>
  <si>
    <t>4.2</t>
  </si>
  <si>
    <t>5.1</t>
  </si>
  <si>
    <t>5.2</t>
  </si>
  <si>
    <t>5.3</t>
  </si>
  <si>
    <t>5.4</t>
  </si>
  <si>
    <t>5.5</t>
  </si>
  <si>
    <t>5.6</t>
  </si>
  <si>
    <t>5.7</t>
  </si>
  <si>
    <t>6.1</t>
  </si>
  <si>
    <t>6.2</t>
  </si>
  <si>
    <t>6.3</t>
  </si>
  <si>
    <t>6.4</t>
  </si>
  <si>
    <t>6.5</t>
  </si>
  <si>
    <t>7.1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</si>
  <si>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</si>
  <si>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</si>
  <si>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</si>
  <si>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</si>
  <si>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</si>
  <si>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</si>
  <si>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</si>
  <si>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</si>
  <si>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</si>
  <si>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</si>
  <si>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</si>
  <si>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9.1</t>
  </si>
  <si>
    <t>9.2</t>
  </si>
  <si>
    <t>9.3</t>
  </si>
  <si>
    <t>10.1</t>
  </si>
  <si>
    <t>10.2</t>
  </si>
  <si>
    <t>10.4</t>
  </si>
  <si>
    <t>10.5</t>
  </si>
  <si>
    <t>11.1</t>
  </si>
  <si>
    <t>11.2</t>
  </si>
  <si>
    <t>11.3</t>
  </si>
  <si>
    <t>11.4</t>
  </si>
  <si>
    <t>11.5</t>
  </si>
  <si>
    <t>12.1</t>
  </si>
  <si>
    <t>12.2</t>
  </si>
  <si>
    <t>12.3</t>
  </si>
  <si>
    <t>12.4</t>
  </si>
  <si>
    <t>12.5</t>
  </si>
  <si>
    <t>12.6</t>
  </si>
  <si>
    <t>12.7</t>
  </si>
  <si>
    <t>12.8</t>
  </si>
  <si>
    <t>12.9</t>
  </si>
  <si>
    <t>12.10</t>
  </si>
  <si>
    <t>12.11</t>
  </si>
  <si>
    <t>12.12</t>
  </si>
  <si>
    <t>13.1</t>
  </si>
  <si>
    <t>13.2</t>
  </si>
  <si>
    <t>13.3</t>
  </si>
  <si>
    <t>13.4</t>
  </si>
  <si>
    <t>13.5</t>
  </si>
  <si>
    <t>13.6</t>
  </si>
  <si>
    <t>14.1</t>
  </si>
  <si>
    <t>14.2</t>
  </si>
  <si>
    <t>14.3</t>
  </si>
  <si>
    <t>14.4</t>
  </si>
  <si>
    <t>14.5</t>
  </si>
  <si>
    <t>14.7</t>
  </si>
  <si>
    <t>14.8</t>
  </si>
  <si>
    <t>14.9</t>
  </si>
  <si>
    <t>14.10</t>
  </si>
  <si>
    <t>15.1</t>
  </si>
  <si>
    <t>15.2</t>
  </si>
  <si>
    <t>15.3</t>
  </si>
  <si>
    <t>15.4</t>
  </si>
  <si>
    <t>15.5</t>
  </si>
  <si>
    <t>16.1</t>
  </si>
  <si>
    <t>16.2</t>
  </si>
  <si>
    <t>16.3</t>
  </si>
  <si>
    <t>16.4</t>
  </si>
  <si>
    <t>16.5</t>
  </si>
  <si>
    <t>16.6</t>
  </si>
  <si>
    <t>16.7</t>
  </si>
  <si>
    <t>16.8</t>
  </si>
  <si>
    <t>16.9</t>
  </si>
  <si>
    <t>16.10</t>
  </si>
  <si>
    <t>17.1</t>
  </si>
  <si>
    <t>17.2</t>
  </si>
  <si>
    <t>17.3</t>
  </si>
  <si>
    <t>17.4</t>
  </si>
  <si>
    <t>17.5</t>
  </si>
  <si>
    <t>17.6</t>
  </si>
  <si>
    <t>18.1</t>
  </si>
  <si>
    <t>18.2</t>
  </si>
  <si>
    <t>18.3</t>
  </si>
  <si>
    <t>18.4</t>
  </si>
  <si>
    <t>19.1</t>
  </si>
  <si>
    <t>19.2</t>
  </si>
  <si>
    <t>19.3</t>
  </si>
  <si>
    <t>19.4</t>
  </si>
  <si>
    <t>19.5</t>
  </si>
  <si>
    <t>19.6</t>
  </si>
  <si>
    <t>19.7</t>
  </si>
  <si>
    <t>19.8</t>
  </si>
  <si>
    <t>19.9</t>
  </si>
  <si>
    <t>19.10</t>
  </si>
  <si>
    <t>19.11</t>
  </si>
  <si>
    <t>19.12</t>
  </si>
  <si>
    <t>19.13</t>
  </si>
  <si>
    <t>19.14</t>
  </si>
  <si>
    <t>20.1</t>
  </si>
  <si>
    <t>20.2</t>
  </si>
  <si>
    <t>20.3</t>
  </si>
  <si>
    <t>20.4</t>
  </si>
  <si>
    <t>20.5</t>
  </si>
  <si>
    <t>20.6</t>
  </si>
  <si>
    <t>20.7</t>
  </si>
  <si>
    <t>20.8</t>
  </si>
  <si>
    <t>20.9</t>
  </si>
  <si>
    <t>20.10</t>
  </si>
  <si>
    <t>20.11</t>
  </si>
  <si>
    <t>20.12</t>
  </si>
  <si>
    <t>21.1</t>
  </si>
  <si>
    <t>MISRA 2004</t>
  </si>
  <si>
    <t>FIAT</t>
  </si>
  <si>
    <t>required</t>
  </si>
  <si>
    <t>advisory</t>
  </si>
  <si>
    <t>required &amp; justifiable</t>
  </si>
  <si>
    <t>3.5</t>
  </si>
  <si>
    <t>?</t>
  </si>
  <si>
    <t>8.12</t>
  </si>
  <si>
    <t>10.3</t>
  </si>
  <si>
    <t>12.13</t>
  </si>
  <si>
    <t>13.7</t>
  </si>
  <si>
    <t>14.6</t>
  </si>
  <si>
    <t>19.15</t>
  </si>
  <si>
    <t>19.16</t>
  </si>
  <si>
    <t>19.17</t>
  </si>
  <si>
    <t>10.6</t>
  </si>
  <si>
    <t>N° totale regole MISRA:</t>
  </si>
  <si>
    <t>N° regole rispettate:</t>
  </si>
  <si>
    <t>Completamento:</t>
  </si>
  <si>
    <t>ALFA</t>
  </si>
  <si>
    <t>PTFC_Core</t>
  </si>
  <si>
    <t>PTFC_Cfg</t>
  </si>
  <si>
    <t>APPL_Core</t>
  </si>
  <si>
    <t>APPL_Cfg</t>
  </si>
  <si>
    <t>* Se abilitata la regola 8.10 da' errori in fase di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</si>
</sst>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3" xfId="0" applyBorder="1"/>
    <xf numFmtId="0" fontId="0" fillId="0" borderId="6" xfId="0" applyBorder="1"/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1" fontId="1" fillId="0" borderId="4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0" fontId="1" fillId="0" borderId="10" xfId="0" applyNumberFormat="1" applyFont="1" applyBorder="1"/>
    <xf numFmtId="0" fontId="0" fillId="3" borderId="0" xfId="0" applyFill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0" xfId="0" applyFill="1" applyBorder="1"/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42"/>
  <sheetViews>
    <sheetView workbookViewId="0">
      <selection activeCell="D18" sqref="D18"/>
    </sheetView>
  </sheetViews>
  <sheetFormatPr defaultRowHeight="14.4" x14ac:dyDescent="0.3"/>
  <cols>
    <col min="1" max="1" width="13.109375" customWidth="1"/>
    <col min="2" max="2" width="20.88671875" customWidth="1"/>
  </cols>
  <sheetData>
    <row r="1" spans="1:9" x14ac:dyDescent="0.3">
      <c r="A1" s="1" t="s">
        <v>131</v>
      </c>
      <c r="B1" s="2" t="s">
        <v>132</v>
      </c>
      <c r="C1" s="16" t="s">
        <v>150</v>
      </c>
    </row>
    <row r="2" spans="1:9" ht="15" thickBot="1" x14ac:dyDescent="0.35">
      <c r="A2" s="6" t="s">
        <v>0</v>
      </c>
      <c r="B2" s="3" t="s">
        <v>133</v>
      </c>
      <c r="C2" s="5">
        <f>IF(SUM('Dettaglio Alfa'!C2:F2)=4, 1, 0)</f>
        <v>0</v>
      </c>
      <c r="D2" s="21"/>
      <c r="E2" s="21"/>
      <c r="F2" s="21"/>
      <c r="G2" s="21"/>
      <c r="H2" s="21"/>
      <c r="I2" s="21"/>
    </row>
    <row r="3" spans="1:9" ht="15" thickBot="1" x14ac:dyDescent="0.35">
      <c r="A3" s="6" t="s">
        <v>1</v>
      </c>
      <c r="B3" s="3" t="s">
        <v>133</v>
      </c>
      <c r="C3" s="5">
        <f>IF(SUM('Dettaglio Alfa'!C3:F3)=4, 1, 0)</f>
        <v>1</v>
      </c>
      <c r="D3" s="21"/>
      <c r="E3" s="22" t="s">
        <v>150</v>
      </c>
      <c r="F3" s="23"/>
      <c r="G3" s="23"/>
      <c r="H3" s="24"/>
      <c r="I3" s="21"/>
    </row>
    <row r="4" spans="1:9" x14ac:dyDescent="0.3">
      <c r="A4" s="6" t="s">
        <v>2</v>
      </c>
      <c r="B4" s="3" t="s">
        <v>133</v>
      </c>
      <c r="C4" s="5">
        <f>IF(SUM('Dettaglio Alfa'!C4:F4)=4, 1, 0)</f>
        <v>1</v>
      </c>
      <c r="D4" s="21"/>
      <c r="E4" s="9" t="s">
        <v>147</v>
      </c>
      <c r="F4" s="7"/>
      <c r="G4" s="7"/>
      <c r="H4" s="11">
        <f>COUNTA(A2:A142)</f>
        <v>141</v>
      </c>
      <c r="I4" s="21"/>
    </row>
    <row r="5" spans="1:9" ht="15" thickBot="1" x14ac:dyDescent="0.35">
      <c r="A5" s="6" t="s">
        <v>3</v>
      </c>
      <c r="B5" s="3" t="s">
        <v>133</v>
      </c>
      <c r="C5" s="5">
        <f>IF(SUM('Dettaglio Alfa'!C5:F5)=4, 1, 0)</f>
        <v>1</v>
      </c>
      <c r="D5" s="21"/>
      <c r="E5" s="10" t="s">
        <v>148</v>
      </c>
      <c r="F5" s="8"/>
      <c r="G5" s="8"/>
      <c r="H5" s="12">
        <f>SUM(C2:C142)</f>
        <v>126</v>
      </c>
      <c r="I5" s="21"/>
    </row>
    <row r="6" spans="1:9" ht="15" thickBot="1" x14ac:dyDescent="0.35">
      <c r="A6" s="6" t="s">
        <v>4</v>
      </c>
      <c r="B6" s="4" t="s">
        <v>134</v>
      </c>
      <c r="C6" s="5">
        <f>IF(SUM('Dettaglio Alfa'!C6:F6)=4, 1, 0)</f>
        <v>1</v>
      </c>
      <c r="D6" s="21"/>
      <c r="E6" s="13" t="s">
        <v>149</v>
      </c>
      <c r="F6" s="14"/>
      <c r="G6" s="14"/>
      <c r="H6" s="15">
        <f>H5/H4</f>
        <v>0.8936170212765957</v>
      </c>
      <c r="I6" s="21"/>
    </row>
    <row r="7" spans="1:9" x14ac:dyDescent="0.3">
      <c r="A7" s="6" t="s">
        <v>5</v>
      </c>
      <c r="B7" s="4" t="s">
        <v>133</v>
      </c>
      <c r="C7" s="5">
        <f>IF(SUM('Dettaglio Alfa'!C7:F7)=4, 1, 0)</f>
        <v>1</v>
      </c>
      <c r="D7" s="21"/>
      <c r="E7" s="21"/>
      <c r="F7" s="21"/>
      <c r="G7" s="21"/>
      <c r="H7" s="21"/>
      <c r="I7" s="21"/>
    </row>
    <row r="8" spans="1:9" x14ac:dyDescent="0.3">
      <c r="A8" s="6" t="s">
        <v>6</v>
      </c>
      <c r="B8" s="4" t="s">
        <v>133</v>
      </c>
      <c r="C8" s="5">
        <f>IF(SUM('Dettaglio Alfa'!C8:F8)=4, 1, 0)</f>
        <v>0</v>
      </c>
    </row>
    <row r="9" spans="1:9" x14ac:dyDescent="0.3">
      <c r="A9" s="6" t="s">
        <v>7</v>
      </c>
      <c r="B9" s="4" t="s">
        <v>133</v>
      </c>
      <c r="C9" s="5">
        <f>IF(SUM('Dettaglio Alfa'!C9:F9)=4, 1, 0)</f>
        <v>1</v>
      </c>
    </row>
    <row r="10" spans="1:9" x14ac:dyDescent="0.3">
      <c r="A10" s="6" t="s">
        <v>8</v>
      </c>
      <c r="B10" s="4" t="s">
        <v>134</v>
      </c>
      <c r="C10" s="5">
        <f>IF(SUM('Dettaglio Alfa'!C10:F10)=4, 1, 0)</f>
        <v>1</v>
      </c>
    </row>
    <row r="11" spans="1:9" x14ac:dyDescent="0.3">
      <c r="A11" s="6" t="s">
        <v>9</v>
      </c>
      <c r="B11" s="4" t="s">
        <v>133</v>
      </c>
      <c r="C11" s="5">
        <f>IF(SUM('Dettaglio Alfa'!C11:F11)=4, 1, 0)</f>
        <v>1</v>
      </c>
    </row>
    <row r="12" spans="1:9" x14ac:dyDescent="0.3">
      <c r="A12" s="6" t="s">
        <v>10</v>
      </c>
      <c r="B12" s="4" t="s">
        <v>134</v>
      </c>
      <c r="C12" s="5">
        <f>IF(SUM('Dettaglio Alfa'!C12:F12)=4, 1, 0)</f>
        <v>1</v>
      </c>
    </row>
    <row r="13" spans="1:9" x14ac:dyDescent="0.3">
      <c r="A13" s="6" t="s">
        <v>11</v>
      </c>
      <c r="B13" s="4" t="s">
        <v>134</v>
      </c>
      <c r="C13" s="5">
        <f>IF(SUM('Dettaglio Alfa'!C13:F13)=4, 1, 0)</f>
        <v>1</v>
      </c>
    </row>
    <row r="14" spans="1:9" x14ac:dyDescent="0.3">
      <c r="A14" s="6" t="s">
        <v>12</v>
      </c>
      <c r="B14" s="4" t="s">
        <v>135</v>
      </c>
      <c r="C14" s="5">
        <f>IF(SUM('Dettaglio Alfa'!C14:F14)=4, 1, 0)</f>
        <v>1</v>
      </c>
    </row>
    <row r="15" spans="1:9" x14ac:dyDescent="0.3">
      <c r="A15" s="6" t="s">
        <v>136</v>
      </c>
      <c r="B15" s="20" t="s">
        <v>137</v>
      </c>
      <c r="C15" s="5">
        <f>IF(SUM('Dettaglio Alfa'!C15:F15)=4, 1, 0)</f>
        <v>1</v>
      </c>
    </row>
    <row r="16" spans="1:9" x14ac:dyDescent="0.3">
      <c r="A16" s="6" t="s">
        <v>13</v>
      </c>
      <c r="B16" s="4" t="s">
        <v>135</v>
      </c>
      <c r="C16" s="5">
        <f>IF(SUM('Dettaglio Alfa'!C16:F16)=4, 1, 0)</f>
        <v>1</v>
      </c>
    </row>
    <row r="17" spans="1:3" x14ac:dyDescent="0.3">
      <c r="A17" s="6" t="s">
        <v>14</v>
      </c>
      <c r="B17" s="4" t="s">
        <v>133</v>
      </c>
      <c r="C17" s="5">
        <f>IF(SUM('Dettaglio Alfa'!C17:F17)=4, 1, 0)</f>
        <v>1</v>
      </c>
    </row>
    <row r="18" spans="1:3" x14ac:dyDescent="0.3">
      <c r="A18" s="6" t="s">
        <v>15</v>
      </c>
      <c r="B18" s="4" t="s">
        <v>133</v>
      </c>
      <c r="C18" s="5">
        <f>IF(SUM('Dettaglio Alfa'!C18:F18)=4, 1, 0)</f>
        <v>1</v>
      </c>
    </row>
    <row r="19" spans="1:3" x14ac:dyDescent="0.3">
      <c r="A19" s="6" t="s">
        <v>16</v>
      </c>
      <c r="B19" s="4" t="s">
        <v>133</v>
      </c>
      <c r="C19" s="5">
        <f>IF(SUM('Dettaglio Alfa'!C19:F19)=4, 1, 0)</f>
        <v>1</v>
      </c>
    </row>
    <row r="20" spans="1:3" x14ac:dyDescent="0.3">
      <c r="A20" s="6" t="s">
        <v>17</v>
      </c>
      <c r="B20" s="4" t="s">
        <v>133</v>
      </c>
      <c r="C20" s="5">
        <f>IF(SUM('Dettaglio Alfa'!C20:F20)=4, 1, 0)</f>
        <v>1</v>
      </c>
    </row>
    <row r="21" spans="1:3" x14ac:dyDescent="0.3">
      <c r="A21" s="6" t="s">
        <v>18</v>
      </c>
      <c r="B21" s="4" t="s">
        <v>133</v>
      </c>
      <c r="C21" s="5">
        <f>IF(SUM('Dettaglio Alfa'!C21:F21)=4, 1, 0)</f>
        <v>1</v>
      </c>
    </row>
    <row r="22" spans="1:3" x14ac:dyDescent="0.3">
      <c r="A22" s="6" t="s">
        <v>19</v>
      </c>
      <c r="B22" s="4" t="s">
        <v>133</v>
      </c>
      <c r="C22" s="5">
        <f>IF(SUM('Dettaglio Alfa'!C22:F22)=4, 1, 0)</f>
        <v>0</v>
      </c>
    </row>
    <row r="23" spans="1:3" x14ac:dyDescent="0.3">
      <c r="A23" s="6" t="s">
        <v>20</v>
      </c>
      <c r="B23" s="4" t="s">
        <v>133</v>
      </c>
      <c r="C23" s="5">
        <f>IF(SUM('Dettaglio Alfa'!C23:F23)=4, 1, 0)</f>
        <v>1</v>
      </c>
    </row>
    <row r="24" spans="1:3" x14ac:dyDescent="0.3">
      <c r="A24" s="6" t="s">
        <v>21</v>
      </c>
      <c r="B24" s="4" t="s">
        <v>133</v>
      </c>
      <c r="C24" s="5">
        <f>IF(SUM('Dettaglio Alfa'!C24:F24)=4, 1, 0)</f>
        <v>1</v>
      </c>
    </row>
    <row r="25" spans="1:3" x14ac:dyDescent="0.3">
      <c r="A25" s="6" t="s">
        <v>22</v>
      </c>
      <c r="B25" s="4" t="s">
        <v>133</v>
      </c>
      <c r="C25" s="5">
        <f>IF(SUM('Dettaglio Alfa'!C25:F25)=4, 1, 0)</f>
        <v>1</v>
      </c>
    </row>
    <row r="26" spans="1:3" x14ac:dyDescent="0.3">
      <c r="A26" s="6" t="s">
        <v>23</v>
      </c>
      <c r="B26" s="4" t="s">
        <v>133</v>
      </c>
      <c r="C26" s="5">
        <f>IF(SUM('Dettaglio Alfa'!C26:F26)=4, 1, 0)</f>
        <v>1</v>
      </c>
    </row>
    <row r="27" spans="1:3" x14ac:dyDescent="0.3">
      <c r="A27" s="6" t="s">
        <v>24</v>
      </c>
      <c r="B27" s="4" t="s">
        <v>133</v>
      </c>
      <c r="C27" s="5">
        <f>IF(SUM('Dettaglio Alfa'!C27:F27)=4, 1, 0)</f>
        <v>1</v>
      </c>
    </row>
    <row r="28" spans="1:3" x14ac:dyDescent="0.3">
      <c r="A28" s="6" t="s">
        <v>25</v>
      </c>
      <c r="B28" s="4" t="s">
        <v>133</v>
      </c>
      <c r="C28" s="5">
        <f>IF(SUM('Dettaglio Alfa'!C28:F28)=4, 1, 0)</f>
        <v>1</v>
      </c>
    </row>
    <row r="29" spans="1:3" x14ac:dyDescent="0.3">
      <c r="A29" s="6" t="s">
        <v>26</v>
      </c>
      <c r="B29" s="4" t="s">
        <v>134</v>
      </c>
      <c r="C29" s="5">
        <f>IF(SUM('Dettaglio Alfa'!C29:F29)=4, 1, 0)</f>
        <v>0</v>
      </c>
    </row>
    <row r="30" spans="1:3" x14ac:dyDescent="0.3">
      <c r="A30" s="6" t="s">
        <v>27</v>
      </c>
      <c r="B30" s="4" t="s">
        <v>133</v>
      </c>
      <c r="C30" s="5">
        <f>IF(SUM('Dettaglio Alfa'!C30:F30)=4, 1, 0)</f>
        <v>1</v>
      </c>
    </row>
    <row r="31" spans="1:3" x14ac:dyDescent="0.3">
      <c r="A31" s="6" t="s">
        <v>28</v>
      </c>
      <c r="B31" s="4" t="s">
        <v>133</v>
      </c>
      <c r="C31" s="5">
        <f>IF(SUM('Dettaglio Alfa'!C31:F31)=4, 1, 0)</f>
        <v>1</v>
      </c>
    </row>
    <row r="32" spans="1:3" x14ac:dyDescent="0.3">
      <c r="A32" s="6" t="s">
        <v>29</v>
      </c>
      <c r="B32" s="4" t="s">
        <v>133</v>
      </c>
      <c r="C32" s="5">
        <f>IF(SUM('Dettaglio Alfa'!C32:F32)=4, 1, 0)</f>
        <v>1</v>
      </c>
    </row>
    <row r="33" spans="1:5" x14ac:dyDescent="0.3">
      <c r="A33" s="6" t="s">
        <v>30</v>
      </c>
      <c r="B33" s="4" t="s">
        <v>133</v>
      </c>
      <c r="C33" s="5">
        <f>IF(SUM('Dettaglio Alfa'!C33:F33)=4, 1, 0)</f>
        <v>1</v>
      </c>
    </row>
    <row r="34" spans="1:5" x14ac:dyDescent="0.3">
      <c r="A34" s="6" t="s">
        <v>31</v>
      </c>
      <c r="B34" s="4" t="s">
        <v>133</v>
      </c>
      <c r="C34" s="5">
        <f>IF(SUM('Dettaglio Alfa'!C34:F34)=4, 1, 0)</f>
        <v>1</v>
      </c>
    </row>
    <row r="35" spans="1:5" x14ac:dyDescent="0.3">
      <c r="A35" s="6" t="s">
        <v>32</v>
      </c>
      <c r="B35" s="4" t="s">
        <v>133</v>
      </c>
      <c r="C35" s="5">
        <f>IF(SUM('Dettaglio Alfa'!C35:F35)=4, 1, 0)</f>
        <v>1</v>
      </c>
    </row>
    <row r="36" spans="1:5" x14ac:dyDescent="0.3">
      <c r="A36" s="6" t="s">
        <v>33</v>
      </c>
      <c r="B36" s="4" t="s">
        <v>133</v>
      </c>
      <c r="C36" s="5">
        <f>IF(SUM('Dettaglio Alfa'!C36:F36)=4, 1, 0)</f>
        <v>0</v>
      </c>
    </row>
    <row r="37" spans="1:5" x14ac:dyDescent="0.3">
      <c r="A37" s="6" t="s">
        <v>34</v>
      </c>
      <c r="B37" s="4" t="s">
        <v>133</v>
      </c>
      <c r="C37" s="5">
        <f>IF(SUM('Dettaglio Alfa'!C37:F37)=4, 1, 0)</f>
        <v>1</v>
      </c>
    </row>
    <row r="38" spans="1:5" x14ac:dyDescent="0.3">
      <c r="A38" s="6" t="s">
        <v>35</v>
      </c>
      <c r="B38" s="4" t="s">
        <v>133</v>
      </c>
      <c r="C38" s="5">
        <f>IF(SUM('Dettaglio Alfa'!C38:F38)=4, 1, 0)</f>
        <v>1</v>
      </c>
    </row>
    <row r="39" spans="1:5" x14ac:dyDescent="0.3">
      <c r="A39" s="6" t="s">
        <v>36</v>
      </c>
      <c r="B39" s="4" t="s">
        <v>133</v>
      </c>
      <c r="C39" s="5">
        <f>IF(SUM('Dettaglio Alfa'!C39:F39)=4, 1, 0)</f>
        <v>1</v>
      </c>
    </row>
    <row r="40" spans="1:5" x14ac:dyDescent="0.3">
      <c r="A40" s="6" t="s">
        <v>37</v>
      </c>
      <c r="B40" s="4" t="s">
        <v>133</v>
      </c>
      <c r="C40" s="5">
        <f>IF(SUM('Dettaglio Alfa'!C40:F40)=4, 1, 0)</f>
        <v>1</v>
      </c>
    </row>
    <row r="41" spans="1:5" x14ac:dyDescent="0.3">
      <c r="A41" s="6" t="s">
        <v>38</v>
      </c>
      <c r="B41" s="4" t="s">
        <v>133</v>
      </c>
      <c r="C41" s="19">
        <f>IF(SUM('Dettaglio Alfa'!C41:F41)=4, 1, 0)</f>
        <v>1</v>
      </c>
      <c r="E41" t="s">
        <v>155</v>
      </c>
    </row>
    <row r="42" spans="1:5" x14ac:dyDescent="0.3">
      <c r="A42" s="6" t="s">
        <v>39</v>
      </c>
      <c r="B42" s="4" t="s">
        <v>133</v>
      </c>
      <c r="C42" s="5">
        <f>IF(SUM('Dettaglio Alfa'!C42:F42)=4, 1, 0)</f>
        <v>1</v>
      </c>
    </row>
    <row r="43" spans="1:5" x14ac:dyDescent="0.3">
      <c r="A43" s="6" t="s">
        <v>138</v>
      </c>
      <c r="B43" s="20" t="s">
        <v>137</v>
      </c>
      <c r="C43" s="5">
        <f>IF(SUM('Dettaglio Alfa'!C43:F43)=4, 1, 0)</f>
        <v>1</v>
      </c>
    </row>
    <row r="44" spans="1:5" x14ac:dyDescent="0.3">
      <c r="A44" s="6" t="s">
        <v>40</v>
      </c>
      <c r="B44" s="4" t="s">
        <v>133</v>
      </c>
      <c r="C44" s="5">
        <f>IF(SUM('Dettaglio Alfa'!C44:F44)=4, 1, 0)</f>
        <v>1</v>
      </c>
    </row>
    <row r="45" spans="1:5" x14ac:dyDescent="0.3">
      <c r="A45" s="6" t="s">
        <v>41</v>
      </c>
      <c r="B45" s="4" t="s">
        <v>133</v>
      </c>
      <c r="C45" s="5">
        <f>IF(SUM('Dettaglio Alfa'!C45:F45)=4, 1, 0)</f>
        <v>1</v>
      </c>
    </row>
    <row r="46" spans="1:5" x14ac:dyDescent="0.3">
      <c r="A46" s="6" t="s">
        <v>42</v>
      </c>
      <c r="B46" s="4" t="s">
        <v>133</v>
      </c>
      <c r="C46" s="5">
        <f>IF(SUM('Dettaglio Alfa'!C46:F46)=4, 1, 0)</f>
        <v>0</v>
      </c>
    </row>
    <row r="47" spans="1:5" x14ac:dyDescent="0.3">
      <c r="A47" s="6" t="s">
        <v>43</v>
      </c>
      <c r="B47" s="4" t="s">
        <v>133</v>
      </c>
      <c r="C47" s="5">
        <f>IF(SUM('Dettaglio Alfa'!C47:F47)=4, 1, 0)</f>
        <v>0</v>
      </c>
    </row>
    <row r="48" spans="1:5" x14ac:dyDescent="0.3">
      <c r="A48" s="6" t="s">
        <v>44</v>
      </c>
      <c r="B48" s="4" t="s">
        <v>133</v>
      </c>
      <c r="C48" s="5">
        <f>IF(SUM('Dettaglio Alfa'!C48:F48)=4, 1, 0)</f>
        <v>1</v>
      </c>
    </row>
    <row r="49" spans="1:3" x14ac:dyDescent="0.3">
      <c r="A49" s="6" t="s">
        <v>139</v>
      </c>
      <c r="B49" s="20" t="s">
        <v>137</v>
      </c>
      <c r="C49" s="5">
        <f>IF(SUM('Dettaglio Alfa'!C49:F49)=4, 1, 0)</f>
        <v>0</v>
      </c>
    </row>
    <row r="50" spans="1:3" x14ac:dyDescent="0.3">
      <c r="A50" s="6" t="s">
        <v>45</v>
      </c>
      <c r="B50" s="4" t="s">
        <v>133</v>
      </c>
      <c r="C50" s="5">
        <f>IF(SUM('Dettaglio Alfa'!C50:F50)=4, 1, 0)</f>
        <v>1</v>
      </c>
    </row>
    <row r="51" spans="1:3" x14ac:dyDescent="0.3">
      <c r="A51" s="6" t="s">
        <v>46</v>
      </c>
      <c r="B51" s="4" t="s">
        <v>133</v>
      </c>
      <c r="C51" s="5">
        <f>IF(SUM('Dettaglio Alfa'!C51:F51)=4, 1, 0)</f>
        <v>1</v>
      </c>
    </row>
    <row r="52" spans="1:3" x14ac:dyDescent="0.3">
      <c r="A52" s="6" t="s">
        <v>146</v>
      </c>
      <c r="B52" s="20" t="s">
        <v>137</v>
      </c>
      <c r="C52" s="5">
        <f>IF(SUM('Dettaglio Alfa'!C52:F52)=4, 1, 0)</f>
        <v>1</v>
      </c>
    </row>
    <row r="53" spans="1:3" x14ac:dyDescent="0.3">
      <c r="A53" s="6" t="s">
        <v>47</v>
      </c>
      <c r="B53" s="4" t="s">
        <v>133</v>
      </c>
      <c r="C53" s="5">
        <f>IF(SUM('Dettaglio Alfa'!C53:F53)=4, 1, 0)</f>
        <v>0</v>
      </c>
    </row>
    <row r="54" spans="1:3" x14ac:dyDescent="0.3">
      <c r="A54" s="6" t="s">
        <v>48</v>
      </c>
      <c r="B54" s="4" t="s">
        <v>133</v>
      </c>
      <c r="C54" s="5">
        <f>IF(SUM('Dettaglio Alfa'!C54:F54)=4, 1, 0)</f>
        <v>1</v>
      </c>
    </row>
    <row r="55" spans="1:3" x14ac:dyDescent="0.3">
      <c r="A55" s="6" t="s">
        <v>49</v>
      </c>
      <c r="B55" s="4" t="s">
        <v>134</v>
      </c>
      <c r="C55" s="5">
        <f>IF(SUM('Dettaglio Alfa'!C55:F55)=4, 1, 0)</f>
        <v>0</v>
      </c>
    </row>
    <row r="56" spans="1:3" x14ac:dyDescent="0.3">
      <c r="A56" s="6" t="s">
        <v>50</v>
      </c>
      <c r="B56" s="4" t="s">
        <v>134</v>
      </c>
      <c r="C56" s="5">
        <f>IF(SUM('Dettaglio Alfa'!C56:F56)=4, 1, 0)</f>
        <v>0</v>
      </c>
    </row>
    <row r="57" spans="1:3" x14ac:dyDescent="0.3">
      <c r="A57" s="6" t="s">
        <v>51</v>
      </c>
      <c r="B57" s="4" t="s">
        <v>133</v>
      </c>
      <c r="C57" s="5">
        <f>IF(SUM('Dettaglio Alfa'!C57:F57)=4, 1, 0)</f>
        <v>1</v>
      </c>
    </row>
    <row r="58" spans="1:3" x14ac:dyDescent="0.3">
      <c r="A58" s="6" t="s">
        <v>52</v>
      </c>
      <c r="B58" s="4" t="s">
        <v>133</v>
      </c>
      <c r="C58" s="5">
        <f>IF(SUM('Dettaglio Alfa'!C58:F58)=4, 1, 0)</f>
        <v>1</v>
      </c>
    </row>
    <row r="59" spans="1:3" x14ac:dyDescent="0.3">
      <c r="A59" s="6" t="s">
        <v>53</v>
      </c>
      <c r="B59" s="4" t="s">
        <v>133</v>
      </c>
      <c r="C59" s="5">
        <f>IF(SUM('Dettaglio Alfa'!C59:F59)=4, 1, 0)</f>
        <v>1</v>
      </c>
    </row>
    <row r="60" spans="1:3" x14ac:dyDescent="0.3">
      <c r="A60" s="6" t="s">
        <v>54</v>
      </c>
      <c r="B60" s="4" t="s">
        <v>133</v>
      </c>
      <c r="C60" s="5">
        <f>IF(SUM('Dettaglio Alfa'!C60:F60)=4, 1, 0)</f>
        <v>1</v>
      </c>
    </row>
    <row r="61" spans="1:3" x14ac:dyDescent="0.3">
      <c r="A61" s="6" t="s">
        <v>55</v>
      </c>
      <c r="B61" s="4" t="s">
        <v>133</v>
      </c>
      <c r="C61" s="5">
        <f>IF(SUM('Dettaglio Alfa'!C61:F61)=4, 1, 0)</f>
        <v>1</v>
      </c>
    </row>
    <row r="62" spans="1:3" x14ac:dyDescent="0.3">
      <c r="A62" s="6" t="s">
        <v>56</v>
      </c>
      <c r="B62" s="4" t="s">
        <v>133</v>
      </c>
      <c r="C62" s="5">
        <f>IF(SUM('Dettaglio Alfa'!C62:F62)=4, 1, 0)</f>
        <v>1</v>
      </c>
    </row>
    <row r="63" spans="1:3" x14ac:dyDescent="0.3">
      <c r="A63" s="6" t="s">
        <v>57</v>
      </c>
      <c r="B63" s="4" t="s">
        <v>133</v>
      </c>
      <c r="C63" s="5">
        <f>IF(SUM('Dettaglio Alfa'!C63:F63)=4, 1, 0)</f>
        <v>0</v>
      </c>
    </row>
    <row r="64" spans="1:3" x14ac:dyDescent="0.3">
      <c r="A64" s="6" t="s">
        <v>58</v>
      </c>
      <c r="B64" s="4" t="s">
        <v>133</v>
      </c>
      <c r="C64" s="5">
        <f>IF(SUM('Dettaglio Alfa'!C64:F64)=4, 1, 0)</f>
        <v>0</v>
      </c>
    </row>
    <row r="65" spans="1:3" x14ac:dyDescent="0.3">
      <c r="A65" s="6" t="s">
        <v>59</v>
      </c>
      <c r="B65" s="4" t="s">
        <v>133</v>
      </c>
      <c r="C65" s="5">
        <f>IF(SUM('Dettaglio Alfa'!C65:F65)=4, 1, 0)</f>
        <v>1</v>
      </c>
    </row>
    <row r="66" spans="1:3" x14ac:dyDescent="0.3">
      <c r="A66" s="6" t="s">
        <v>60</v>
      </c>
      <c r="B66" s="4" t="s">
        <v>133</v>
      </c>
      <c r="C66" s="5">
        <f>IF(SUM('Dettaglio Alfa'!C66:F66)=4, 1, 0)</f>
        <v>1</v>
      </c>
    </row>
    <row r="67" spans="1:3" x14ac:dyDescent="0.3">
      <c r="A67" s="6" t="s">
        <v>61</v>
      </c>
      <c r="B67" s="4" t="s">
        <v>133</v>
      </c>
      <c r="C67" s="5">
        <f>IF(SUM('Dettaglio Alfa'!C67:F67)=4, 1, 0)</f>
        <v>1</v>
      </c>
    </row>
    <row r="68" spans="1:3" x14ac:dyDescent="0.3">
      <c r="A68" s="6" t="s">
        <v>62</v>
      </c>
      <c r="B68" s="4" t="s">
        <v>133</v>
      </c>
      <c r="C68" s="5">
        <f>IF(SUM('Dettaglio Alfa'!C68:F68)=4, 1, 0)</f>
        <v>1</v>
      </c>
    </row>
    <row r="69" spans="1:3" x14ac:dyDescent="0.3">
      <c r="A69" s="6" t="s">
        <v>63</v>
      </c>
      <c r="B69" s="4" t="s">
        <v>134</v>
      </c>
      <c r="C69" s="5">
        <f>IF(SUM('Dettaglio Alfa'!C69:F69)=4, 1, 0)</f>
        <v>1</v>
      </c>
    </row>
    <row r="70" spans="1:3" x14ac:dyDescent="0.3">
      <c r="A70" s="6" t="s">
        <v>140</v>
      </c>
      <c r="B70" s="20" t="s">
        <v>137</v>
      </c>
      <c r="C70" s="5">
        <f>IF(SUM('Dettaglio Alfa'!C70:F70)=4, 1, 0)</f>
        <v>1</v>
      </c>
    </row>
    <row r="71" spans="1:3" x14ac:dyDescent="0.3">
      <c r="A71" s="6" t="s">
        <v>64</v>
      </c>
      <c r="B71" s="4" t="s">
        <v>133</v>
      </c>
      <c r="C71" s="5">
        <f>IF(SUM('Dettaglio Alfa'!C71:F71)=4, 1, 0)</f>
        <v>1</v>
      </c>
    </row>
    <row r="72" spans="1:3" x14ac:dyDescent="0.3">
      <c r="A72" s="6" t="s">
        <v>65</v>
      </c>
      <c r="B72" s="4" t="s">
        <v>133</v>
      </c>
      <c r="C72" s="5">
        <f>IF(SUM('Dettaglio Alfa'!C72:F72)=4, 1, 0)</f>
        <v>1</v>
      </c>
    </row>
    <row r="73" spans="1:3" x14ac:dyDescent="0.3">
      <c r="A73" s="6" t="s">
        <v>66</v>
      </c>
      <c r="B73" s="4" t="s">
        <v>133</v>
      </c>
      <c r="C73" s="5">
        <f>IF(SUM('Dettaglio Alfa'!C73:F73)=4, 1, 0)</f>
        <v>1</v>
      </c>
    </row>
    <row r="74" spans="1:3" x14ac:dyDescent="0.3">
      <c r="A74" s="6" t="s">
        <v>67</v>
      </c>
      <c r="B74" s="4" t="s">
        <v>133</v>
      </c>
      <c r="C74" s="5">
        <f>IF(SUM('Dettaglio Alfa'!C74:F74)=4, 1, 0)</f>
        <v>1</v>
      </c>
    </row>
    <row r="75" spans="1:3" x14ac:dyDescent="0.3">
      <c r="A75" s="6" t="s">
        <v>68</v>
      </c>
      <c r="B75" s="4" t="s">
        <v>133</v>
      </c>
      <c r="C75" s="5">
        <f>IF(SUM('Dettaglio Alfa'!C75:F75)=4, 1, 0)</f>
        <v>1</v>
      </c>
    </row>
    <row r="76" spans="1:3" x14ac:dyDescent="0.3">
      <c r="A76" s="6" t="s">
        <v>69</v>
      </c>
      <c r="B76" s="4" t="s">
        <v>135</v>
      </c>
      <c r="C76" s="5">
        <f>IF(SUM('Dettaglio Alfa'!C76:F76)=4, 1, 0)</f>
        <v>1</v>
      </c>
    </row>
    <row r="77" spans="1:3" x14ac:dyDescent="0.3">
      <c r="A77" s="6" t="s">
        <v>141</v>
      </c>
      <c r="B77" s="20" t="s">
        <v>137</v>
      </c>
      <c r="C77" s="5">
        <f>IF(SUM('Dettaglio Alfa'!C77:F77)=4, 1, 0)</f>
        <v>1</v>
      </c>
    </row>
    <row r="78" spans="1:3" x14ac:dyDescent="0.3">
      <c r="A78" s="6" t="s">
        <v>70</v>
      </c>
      <c r="B78" s="4" t="s">
        <v>133</v>
      </c>
      <c r="C78" s="5">
        <f>IF(SUM('Dettaglio Alfa'!C78:F78)=4, 1, 0)</f>
        <v>1</v>
      </c>
    </row>
    <row r="79" spans="1:3" x14ac:dyDescent="0.3">
      <c r="A79" s="6" t="s">
        <v>71</v>
      </c>
      <c r="B79" s="4" t="s">
        <v>133</v>
      </c>
      <c r="C79" s="5">
        <f>IF(SUM('Dettaglio Alfa'!C79:F79)=4, 1, 0)</f>
        <v>1</v>
      </c>
    </row>
    <row r="80" spans="1:3" x14ac:dyDescent="0.3">
      <c r="A80" s="6" t="s">
        <v>72</v>
      </c>
      <c r="B80" s="4" t="s">
        <v>133</v>
      </c>
      <c r="C80" s="5">
        <f>IF(SUM('Dettaglio Alfa'!C80:F80)=4, 1, 0)</f>
        <v>1</v>
      </c>
    </row>
    <row r="81" spans="1:3" x14ac:dyDescent="0.3">
      <c r="A81" s="6" t="s">
        <v>73</v>
      </c>
      <c r="B81" s="4" t="s">
        <v>133</v>
      </c>
      <c r="C81" s="5">
        <f>IF(SUM('Dettaglio Alfa'!C81:F81)=4, 1, 0)</f>
        <v>1</v>
      </c>
    </row>
    <row r="82" spans="1:3" x14ac:dyDescent="0.3">
      <c r="A82" s="6" t="s">
        <v>74</v>
      </c>
      <c r="B82" s="4" t="s">
        <v>133</v>
      </c>
      <c r="C82" s="5">
        <f>IF(SUM('Dettaglio Alfa'!C82:F82)=4, 1, 0)</f>
        <v>1</v>
      </c>
    </row>
    <row r="83" spans="1:3" x14ac:dyDescent="0.3">
      <c r="A83" s="6" t="s">
        <v>142</v>
      </c>
      <c r="B83" s="20" t="s">
        <v>137</v>
      </c>
      <c r="C83" s="5">
        <f>IF(SUM('Dettaglio Alfa'!C83:F83)=4, 1, 0)</f>
        <v>1</v>
      </c>
    </row>
    <row r="84" spans="1:3" x14ac:dyDescent="0.3">
      <c r="A84" s="6" t="s">
        <v>75</v>
      </c>
      <c r="B84" s="4" t="s">
        <v>135</v>
      </c>
      <c r="C84" s="5">
        <f>IF(SUM('Dettaglio Alfa'!C84:F84)=4, 1, 0)</f>
        <v>1</v>
      </c>
    </row>
    <row r="85" spans="1:3" x14ac:dyDescent="0.3">
      <c r="A85" s="6" t="s">
        <v>76</v>
      </c>
      <c r="B85" s="4" t="s">
        <v>133</v>
      </c>
      <c r="C85" s="5">
        <f>IF(SUM('Dettaglio Alfa'!C85:F85)=4, 1, 0)</f>
        <v>1</v>
      </c>
    </row>
    <row r="86" spans="1:3" x14ac:dyDescent="0.3">
      <c r="A86" s="6" t="s">
        <v>77</v>
      </c>
      <c r="B86" s="4" t="s">
        <v>133</v>
      </c>
      <c r="C86" s="5">
        <f>IF(SUM('Dettaglio Alfa'!C86:F86)=4, 1, 0)</f>
        <v>1</v>
      </c>
    </row>
    <row r="87" spans="1:3" x14ac:dyDescent="0.3">
      <c r="A87" s="6" t="s">
        <v>78</v>
      </c>
      <c r="B87" s="4" t="s">
        <v>133</v>
      </c>
      <c r="C87" s="5">
        <f>IF(SUM('Dettaglio Alfa'!C87:F87)=4, 1, 0)</f>
        <v>1</v>
      </c>
    </row>
    <row r="88" spans="1:3" x14ac:dyDescent="0.3">
      <c r="A88" s="6" t="s">
        <v>79</v>
      </c>
      <c r="B88" s="4" t="s">
        <v>133</v>
      </c>
      <c r="C88" s="5">
        <f>IF(SUM('Dettaglio Alfa'!C88:F88)=4, 1, 0)</f>
        <v>1</v>
      </c>
    </row>
    <row r="89" spans="1:3" x14ac:dyDescent="0.3">
      <c r="A89" s="6" t="s">
        <v>80</v>
      </c>
      <c r="B89" s="4" t="s">
        <v>135</v>
      </c>
      <c r="C89" s="5">
        <f>IF(SUM('Dettaglio Alfa'!C89:F89)=4, 1, 0)</f>
        <v>1</v>
      </c>
    </row>
    <row r="90" spans="1:3" x14ac:dyDescent="0.3">
      <c r="A90" s="6" t="s">
        <v>81</v>
      </c>
      <c r="B90" s="4" t="s">
        <v>133</v>
      </c>
      <c r="C90" s="5">
        <f>IF(SUM('Dettaglio Alfa'!C90:F90)=4, 1, 0)</f>
        <v>1</v>
      </c>
    </row>
    <row r="91" spans="1:3" x14ac:dyDescent="0.3">
      <c r="A91" s="6" t="s">
        <v>82</v>
      </c>
      <c r="B91" s="4" t="s">
        <v>133</v>
      </c>
      <c r="C91" s="5">
        <f>IF(SUM('Dettaglio Alfa'!C91:F91)=4, 1, 0)</f>
        <v>1</v>
      </c>
    </row>
    <row r="92" spans="1:3" x14ac:dyDescent="0.3">
      <c r="A92" s="6" t="s">
        <v>83</v>
      </c>
      <c r="B92" s="4" t="s">
        <v>133</v>
      </c>
      <c r="C92" s="5">
        <f>IF(SUM('Dettaglio Alfa'!C92:F92)=4, 1, 0)</f>
        <v>1</v>
      </c>
    </row>
    <row r="93" spans="1:3" x14ac:dyDescent="0.3">
      <c r="A93" s="6" t="s">
        <v>84</v>
      </c>
      <c r="B93" s="4" t="s">
        <v>133</v>
      </c>
      <c r="C93" s="5">
        <f>IF(SUM('Dettaglio Alfa'!C93:F93)=4, 1, 0)</f>
        <v>1</v>
      </c>
    </row>
    <row r="94" spans="1:3" x14ac:dyDescent="0.3">
      <c r="A94" s="6" t="s">
        <v>85</v>
      </c>
      <c r="B94" s="4" t="s">
        <v>133</v>
      </c>
      <c r="C94" s="5">
        <f>IF(SUM('Dettaglio Alfa'!C94:F94)=4, 1, 0)</f>
        <v>1</v>
      </c>
    </row>
    <row r="95" spans="1:3" x14ac:dyDescent="0.3">
      <c r="A95" s="6" t="s">
        <v>86</v>
      </c>
      <c r="B95" s="4" t="s">
        <v>133</v>
      </c>
      <c r="C95" s="5">
        <f>IF(SUM('Dettaglio Alfa'!C95:F95)=4, 1, 0)</f>
        <v>1</v>
      </c>
    </row>
    <row r="96" spans="1:3" x14ac:dyDescent="0.3">
      <c r="A96" s="6" t="s">
        <v>87</v>
      </c>
      <c r="B96" s="4" t="s">
        <v>133</v>
      </c>
      <c r="C96" s="5">
        <f>IF(SUM('Dettaglio Alfa'!C96:F96)=4, 1, 0)</f>
        <v>1</v>
      </c>
    </row>
    <row r="97" spans="1:3" x14ac:dyDescent="0.3">
      <c r="A97" s="6" t="s">
        <v>88</v>
      </c>
      <c r="B97" s="4" t="s">
        <v>133</v>
      </c>
      <c r="C97" s="5">
        <f>IF(SUM('Dettaglio Alfa'!C97:F97)=4, 1, 0)</f>
        <v>1</v>
      </c>
    </row>
    <row r="98" spans="1:3" x14ac:dyDescent="0.3">
      <c r="A98" s="6" t="s">
        <v>89</v>
      </c>
      <c r="B98" s="4" t="s">
        <v>133</v>
      </c>
      <c r="C98" s="5">
        <f>IF(SUM('Dettaglio Alfa'!C98:F98)=4, 1, 0)</f>
        <v>1</v>
      </c>
    </row>
    <row r="99" spans="1:3" x14ac:dyDescent="0.3">
      <c r="A99" s="6" t="s">
        <v>90</v>
      </c>
      <c r="B99" s="4" t="s">
        <v>134</v>
      </c>
      <c r="C99" s="5">
        <f>IF(SUM('Dettaglio Alfa'!C99:F99)=4, 1, 0)</f>
        <v>1</v>
      </c>
    </row>
    <row r="100" spans="1:3" x14ac:dyDescent="0.3">
      <c r="A100" s="6" t="s">
        <v>91</v>
      </c>
      <c r="B100" s="4" t="s">
        <v>133</v>
      </c>
      <c r="C100" s="5">
        <f>IF(SUM('Dettaglio Alfa'!C100:F100)=4, 1, 0)</f>
        <v>1</v>
      </c>
    </row>
    <row r="101" spans="1:3" x14ac:dyDescent="0.3">
      <c r="A101" s="6" t="s">
        <v>92</v>
      </c>
      <c r="B101" s="4" t="s">
        <v>133</v>
      </c>
      <c r="C101" s="5">
        <f>IF(SUM('Dettaglio Alfa'!C101:F101)=4, 1, 0)</f>
        <v>1</v>
      </c>
    </row>
    <row r="102" spans="1:3" x14ac:dyDescent="0.3">
      <c r="A102" s="6" t="s">
        <v>93</v>
      </c>
      <c r="B102" s="4" t="s">
        <v>133</v>
      </c>
      <c r="C102" s="5">
        <f>IF(SUM('Dettaglio Alfa'!C102:F102)=4, 1, 0)</f>
        <v>1</v>
      </c>
    </row>
    <row r="103" spans="1:3" x14ac:dyDescent="0.3">
      <c r="A103" s="6" t="s">
        <v>94</v>
      </c>
      <c r="B103" s="4" t="s">
        <v>133</v>
      </c>
      <c r="C103" s="5">
        <f>IF(SUM('Dettaglio Alfa'!C103:F103)=4, 1, 0)</f>
        <v>1</v>
      </c>
    </row>
    <row r="104" spans="1:3" x14ac:dyDescent="0.3">
      <c r="A104" s="6" t="s">
        <v>95</v>
      </c>
      <c r="B104" s="4" t="s">
        <v>135</v>
      </c>
      <c r="C104" s="5">
        <f>IF(SUM('Dettaglio Alfa'!C104:F104)=4, 1, 0)</f>
        <v>1</v>
      </c>
    </row>
    <row r="105" spans="1:3" x14ac:dyDescent="0.3">
      <c r="A105" s="6" t="s">
        <v>96</v>
      </c>
      <c r="B105" s="4" t="s">
        <v>133</v>
      </c>
      <c r="C105" s="5">
        <f>IF(SUM('Dettaglio Alfa'!C105:F105)=4, 1, 0)</f>
        <v>1</v>
      </c>
    </row>
    <row r="106" spans="1:3" x14ac:dyDescent="0.3">
      <c r="A106" s="6" t="s">
        <v>97</v>
      </c>
      <c r="B106" s="4" t="s">
        <v>135</v>
      </c>
      <c r="C106" s="5">
        <f>IF(SUM('Dettaglio Alfa'!C106:F106)=4, 1, 0)</f>
        <v>0</v>
      </c>
    </row>
    <row r="107" spans="1:3" x14ac:dyDescent="0.3">
      <c r="A107" s="6" t="s">
        <v>98</v>
      </c>
      <c r="B107" s="4" t="s">
        <v>135</v>
      </c>
      <c r="C107" s="5">
        <f>IF(SUM('Dettaglio Alfa'!C107:F107)=4, 1, 0)</f>
        <v>1</v>
      </c>
    </row>
    <row r="108" spans="1:3" x14ac:dyDescent="0.3">
      <c r="A108" s="6" t="s">
        <v>99</v>
      </c>
      <c r="B108" s="4" t="s">
        <v>133</v>
      </c>
      <c r="C108" s="5">
        <f>IF(SUM('Dettaglio Alfa'!C108:F108)=4, 1, 0)</f>
        <v>1</v>
      </c>
    </row>
    <row r="109" spans="1:3" x14ac:dyDescent="0.3">
      <c r="A109" s="6" t="s">
        <v>100</v>
      </c>
      <c r="B109" s="4" t="s">
        <v>133</v>
      </c>
      <c r="C109" s="5">
        <f>IF(SUM('Dettaglio Alfa'!C109:F109)=4, 1, 0)</f>
        <v>1</v>
      </c>
    </row>
    <row r="110" spans="1:3" x14ac:dyDescent="0.3">
      <c r="A110" s="6" t="s">
        <v>101</v>
      </c>
      <c r="B110" s="4" t="s">
        <v>135</v>
      </c>
      <c r="C110" s="5">
        <f>IF(SUM('Dettaglio Alfa'!C110:F110)=4, 1, 0)</f>
        <v>1</v>
      </c>
    </row>
    <row r="111" spans="1:3" x14ac:dyDescent="0.3">
      <c r="A111" s="6" t="s">
        <v>102</v>
      </c>
      <c r="B111" s="4" t="s">
        <v>135</v>
      </c>
      <c r="C111" s="5">
        <f>IF(SUM('Dettaglio Alfa'!C111:F111)=4, 1, 0)</f>
        <v>1</v>
      </c>
    </row>
    <row r="112" spans="1:3" x14ac:dyDescent="0.3">
      <c r="A112" s="6" t="s">
        <v>103</v>
      </c>
      <c r="B112" s="4" t="s">
        <v>135</v>
      </c>
      <c r="C112" s="5">
        <f>IF(SUM('Dettaglio Alfa'!C112:F112)=4, 1, 0)</f>
        <v>0</v>
      </c>
    </row>
    <row r="113" spans="1:3" x14ac:dyDescent="0.3">
      <c r="A113" s="6" t="s">
        <v>104</v>
      </c>
      <c r="B113" s="4" t="s">
        <v>134</v>
      </c>
      <c r="C113" s="5">
        <f>IF(SUM('Dettaglio Alfa'!C113:F113)=4, 1, 0)</f>
        <v>1</v>
      </c>
    </row>
    <row r="114" spans="1:3" x14ac:dyDescent="0.3">
      <c r="A114" s="6" t="s">
        <v>105</v>
      </c>
      <c r="B114" s="4" t="s">
        <v>134</v>
      </c>
      <c r="C114" s="5">
        <f>IF(SUM('Dettaglio Alfa'!C114:F114)=4, 1, 0)</f>
        <v>1</v>
      </c>
    </row>
    <row r="115" spans="1:3" x14ac:dyDescent="0.3">
      <c r="A115" s="6" t="s">
        <v>106</v>
      </c>
      <c r="B115" s="4" t="s">
        <v>133</v>
      </c>
      <c r="C115" s="5">
        <f>IF(SUM('Dettaglio Alfa'!C115:F115)=4, 1, 0)</f>
        <v>1</v>
      </c>
    </row>
    <row r="116" spans="1:3" x14ac:dyDescent="0.3">
      <c r="A116" s="6" t="s">
        <v>107</v>
      </c>
      <c r="B116" s="4" t="s">
        <v>133</v>
      </c>
      <c r="C116" s="5">
        <f>IF(SUM('Dettaglio Alfa'!C116:F116)=4, 1, 0)</f>
        <v>1</v>
      </c>
    </row>
    <row r="117" spans="1:3" x14ac:dyDescent="0.3">
      <c r="A117" s="6" t="s">
        <v>108</v>
      </c>
      <c r="B117" s="4" t="s">
        <v>133</v>
      </c>
      <c r="C117" s="5">
        <f>IF(SUM('Dettaglio Alfa'!C117:F117)=4, 1, 0)</f>
        <v>1</v>
      </c>
    </row>
    <row r="118" spans="1:3" x14ac:dyDescent="0.3">
      <c r="A118" s="6" t="s">
        <v>109</v>
      </c>
      <c r="B118" s="4" t="s">
        <v>133</v>
      </c>
      <c r="C118" s="5">
        <f>IF(SUM('Dettaglio Alfa'!C118:F118)=4, 1, 0)</f>
        <v>1</v>
      </c>
    </row>
    <row r="119" spans="1:3" x14ac:dyDescent="0.3">
      <c r="A119" s="6" t="s">
        <v>110</v>
      </c>
      <c r="B119" s="4" t="s">
        <v>134</v>
      </c>
      <c r="C119" s="5">
        <f>IF(SUM('Dettaglio Alfa'!C119:F119)=4, 1, 0)</f>
        <v>1</v>
      </c>
    </row>
    <row r="120" spans="1:3" x14ac:dyDescent="0.3">
      <c r="A120" s="6" t="s">
        <v>111</v>
      </c>
      <c r="B120" s="4" t="s">
        <v>133</v>
      </c>
      <c r="C120" s="5">
        <f>IF(SUM('Dettaglio Alfa'!C120:F120)=4, 1, 0)</f>
        <v>1</v>
      </c>
    </row>
    <row r="121" spans="1:3" x14ac:dyDescent="0.3">
      <c r="A121" s="6" t="s">
        <v>112</v>
      </c>
      <c r="B121" s="4" t="s">
        <v>133</v>
      </c>
      <c r="C121" s="5">
        <f>IF(SUM('Dettaglio Alfa'!C121:F121)=4, 1, 0)</f>
        <v>1</v>
      </c>
    </row>
    <row r="122" spans="1:3" x14ac:dyDescent="0.3">
      <c r="A122" s="6" t="s">
        <v>113</v>
      </c>
      <c r="B122" s="4" t="s">
        <v>133</v>
      </c>
      <c r="C122" s="5">
        <f>IF(SUM('Dettaglio Alfa'!C122:F122)=4, 1, 0)</f>
        <v>1</v>
      </c>
    </row>
    <row r="123" spans="1:3" x14ac:dyDescent="0.3">
      <c r="A123" s="6" t="s">
        <v>114</v>
      </c>
      <c r="B123" s="4" t="s">
        <v>133</v>
      </c>
      <c r="C123" s="5">
        <f>IF(SUM('Dettaglio Alfa'!C123:F123)=4, 1, 0)</f>
        <v>1</v>
      </c>
    </row>
    <row r="124" spans="1:3" x14ac:dyDescent="0.3">
      <c r="A124" s="6" t="s">
        <v>115</v>
      </c>
      <c r="B124" s="4" t="s">
        <v>135</v>
      </c>
      <c r="C124" s="5">
        <f>IF(SUM('Dettaglio Alfa'!C124:F124)=4, 1, 0)</f>
        <v>1</v>
      </c>
    </row>
    <row r="125" spans="1:3" x14ac:dyDescent="0.3">
      <c r="A125" s="6" t="s">
        <v>116</v>
      </c>
      <c r="B125" s="4" t="s">
        <v>135</v>
      </c>
      <c r="C125" s="5">
        <f>IF(SUM('Dettaglio Alfa'!C125:F125)=4, 1, 0)</f>
        <v>1</v>
      </c>
    </row>
    <row r="126" spans="1:3" x14ac:dyDescent="0.3">
      <c r="A126" s="6" t="s">
        <v>117</v>
      </c>
      <c r="B126" s="4" t="s">
        <v>133</v>
      </c>
      <c r="C126" s="5">
        <f>IF(SUM('Dettaglio Alfa'!C126:F126)=4, 1, 0)</f>
        <v>1</v>
      </c>
    </row>
    <row r="127" spans="1:3" x14ac:dyDescent="0.3">
      <c r="A127" s="6" t="s">
        <v>143</v>
      </c>
      <c r="B127" s="20" t="s">
        <v>137</v>
      </c>
      <c r="C127" s="5">
        <f>IF(SUM('Dettaglio Alfa'!C127:F127)=4, 1, 0)</f>
        <v>1</v>
      </c>
    </row>
    <row r="128" spans="1:3" x14ac:dyDescent="0.3">
      <c r="A128" s="6" t="s">
        <v>144</v>
      </c>
      <c r="B128" s="20" t="s">
        <v>137</v>
      </c>
      <c r="C128" s="5">
        <f>IF(SUM('Dettaglio Alfa'!C128:F128)=4, 1, 0)</f>
        <v>1</v>
      </c>
    </row>
    <row r="129" spans="1:3" x14ac:dyDescent="0.3">
      <c r="A129" s="6" t="s">
        <v>145</v>
      </c>
      <c r="B129" s="20" t="s">
        <v>137</v>
      </c>
      <c r="C129" s="5">
        <f>IF(SUM('Dettaglio Alfa'!C129:F129)=4, 1, 0)</f>
        <v>1</v>
      </c>
    </row>
    <row r="130" spans="1:3" x14ac:dyDescent="0.3">
      <c r="A130" s="6" t="s">
        <v>118</v>
      </c>
      <c r="B130" s="4" t="s">
        <v>133</v>
      </c>
      <c r="C130" s="5">
        <f>IF(SUM('Dettaglio Alfa'!C130:F130)=4, 1, 0)</f>
        <v>1</v>
      </c>
    </row>
    <row r="131" spans="1:3" x14ac:dyDescent="0.3">
      <c r="A131" s="6" t="s">
        <v>119</v>
      </c>
      <c r="B131" s="4" t="s">
        <v>133</v>
      </c>
      <c r="C131" s="5">
        <f>IF(SUM('Dettaglio Alfa'!C131:F131)=4, 1, 0)</f>
        <v>1</v>
      </c>
    </row>
    <row r="132" spans="1:3" x14ac:dyDescent="0.3">
      <c r="A132" s="6" t="s">
        <v>120</v>
      </c>
      <c r="B132" s="4" t="s">
        <v>133</v>
      </c>
      <c r="C132" s="5">
        <f>IF(SUM('Dettaglio Alfa'!C132:F132)=4, 1, 0)</f>
        <v>1</v>
      </c>
    </row>
    <row r="133" spans="1:3" x14ac:dyDescent="0.3">
      <c r="A133" s="6" t="s">
        <v>121</v>
      </c>
      <c r="B133" s="4" t="s">
        <v>135</v>
      </c>
      <c r="C133" s="5">
        <f>IF(SUM('Dettaglio Alfa'!C133:F133)=4, 1, 0)</f>
        <v>1</v>
      </c>
    </row>
    <row r="134" spans="1:3" x14ac:dyDescent="0.3">
      <c r="A134" s="6" t="s">
        <v>122</v>
      </c>
      <c r="B134" s="4" t="s">
        <v>133</v>
      </c>
      <c r="C134" s="5">
        <f>IF(SUM('Dettaglio Alfa'!C134:F134)=4, 1, 0)</f>
        <v>1</v>
      </c>
    </row>
    <row r="135" spans="1:3" x14ac:dyDescent="0.3">
      <c r="A135" s="6" t="s">
        <v>123</v>
      </c>
      <c r="B135" s="4" t="s">
        <v>133</v>
      </c>
      <c r="C135" s="5">
        <f>IF(SUM('Dettaglio Alfa'!C135:F135)=4, 1, 0)</f>
        <v>1</v>
      </c>
    </row>
    <row r="136" spans="1:3" x14ac:dyDescent="0.3">
      <c r="A136" s="6" t="s">
        <v>124</v>
      </c>
      <c r="B136" s="4" t="s">
        <v>133</v>
      </c>
      <c r="C136" s="5">
        <f>IF(SUM('Dettaglio Alfa'!C136:F136)=4, 1, 0)</f>
        <v>1</v>
      </c>
    </row>
    <row r="137" spans="1:3" x14ac:dyDescent="0.3">
      <c r="A137" s="6" t="s">
        <v>125</v>
      </c>
      <c r="B137" s="4" t="s">
        <v>133</v>
      </c>
      <c r="C137" s="5">
        <f>IF(SUM('Dettaglio Alfa'!C137:F137)=4, 1, 0)</f>
        <v>1</v>
      </c>
    </row>
    <row r="138" spans="1:3" x14ac:dyDescent="0.3">
      <c r="A138" s="6" t="s">
        <v>126</v>
      </c>
      <c r="B138" s="4" t="s">
        <v>135</v>
      </c>
      <c r="C138" s="5">
        <f>IF(SUM('Dettaglio Alfa'!C138:F138)=4, 1, 0)</f>
        <v>1</v>
      </c>
    </row>
    <row r="139" spans="1:3" x14ac:dyDescent="0.3">
      <c r="A139" s="6" t="s">
        <v>127</v>
      </c>
      <c r="B139" s="4" t="s">
        <v>135</v>
      </c>
      <c r="C139" s="5">
        <f>IF(SUM('Dettaglio Alfa'!C139:F139)=4, 1, 0)</f>
        <v>1</v>
      </c>
    </row>
    <row r="140" spans="1:3" x14ac:dyDescent="0.3">
      <c r="A140" s="6" t="s">
        <v>128</v>
      </c>
      <c r="B140" s="4" t="s">
        <v>135</v>
      </c>
      <c r="C140" s="5">
        <f>IF(SUM('Dettaglio Alfa'!C140:F140)=4, 1, 0)</f>
        <v>1</v>
      </c>
    </row>
    <row r="141" spans="1:3" x14ac:dyDescent="0.3">
      <c r="A141" s="6" t="s">
        <v>129</v>
      </c>
      <c r="B141" s="4" t="s">
        <v>133</v>
      </c>
      <c r="C141" s="5">
        <f>IF(SUM('Dettaglio Alfa'!C141:F141)=4, 1, 0)</f>
        <v>1</v>
      </c>
    </row>
    <row r="142" spans="1:3" x14ac:dyDescent="0.3">
      <c r="A142" s="6" t="s">
        <v>130</v>
      </c>
      <c r="B142" s="4" t="s">
        <v>133</v>
      </c>
      <c r="C142" s="5">
        <f>IF(SUM('Dettaglio Alfa'!C142:F142)=4, 1, 0)</f>
        <v>1</v>
      </c>
    </row>
  </sheetData>
  <mergeCells count="1">
    <mergeCell ref="E3:H3"/>
  </mergeCells>
  <conditionalFormatting sqref="C2:C40 C42:C142">
    <cfRule type="colorScale" priority="2">
      <colorScale>
        <cfvo type="num" val="0"/>
        <cfvo type="num" val="1"/>
        <color rgb="FFFF0000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2"/>
  <sheetViews>
    <sheetView tabSelected="1" workbookViewId="0">
      <pane ySplit="1" topLeftCell="A43" activePane="bottomLeft" state="frozen"/>
      <selection pane="bottomLeft" activeCell="D49" sqref="D49"/>
    </sheetView>
  </sheetViews>
  <sheetFormatPr defaultRowHeight="14.4" x14ac:dyDescent="0.3"/>
  <cols>
    <col min="1" max="1" width="13.109375" customWidth="1"/>
    <col min="2" max="2" width="20.88671875" customWidth="1"/>
    <col min="3" max="3" width="9.88671875" style="5" bestFit="1" customWidth="1"/>
    <col min="4" max="4" width="8.6640625" style="5" bestFit="1" customWidth="1"/>
    <col min="5" max="5" width="9.88671875" style="5" bestFit="1" customWidth="1"/>
    <col min="6" max="6" width="8.6640625" style="5" bestFit="1" customWidth="1"/>
  </cols>
  <sheetData>
    <row r="1" spans="1:12" x14ac:dyDescent="0.3">
      <c r="A1" s="1" t="s">
        <v>131</v>
      </c>
      <c r="B1" s="2" t="s">
        <v>132</v>
      </c>
      <c r="C1" s="17" t="s">
        <v>151</v>
      </c>
      <c r="D1" s="17" t="s">
        <v>152</v>
      </c>
      <c r="E1" s="17" t="s">
        <v>153</v>
      </c>
      <c r="F1" s="17" t="s">
        <v>154</v>
      </c>
    </row>
    <row r="2" spans="1:12" ht="15" thickBot="1" x14ac:dyDescent="0.35">
      <c r="A2" s="6" t="s">
        <v>0</v>
      </c>
      <c r="B2" s="3" t="s">
        <v>133</v>
      </c>
      <c r="C2" s="18">
        <v>0</v>
      </c>
      <c r="D2" s="18">
        <v>0</v>
      </c>
      <c r="E2" s="18">
        <v>0</v>
      </c>
      <c r="F2" s="18">
        <v>0</v>
      </c>
    </row>
    <row r="3" spans="1:12" ht="15" thickBot="1" x14ac:dyDescent="0.35">
      <c r="A3" s="6" t="s">
        <v>1</v>
      </c>
      <c r="B3" s="3" t="s">
        <v>133</v>
      </c>
      <c r="C3" s="18">
        <v>1</v>
      </c>
      <c r="D3" s="18">
        <v>1</v>
      </c>
      <c r="E3" s="18">
        <v>1</v>
      </c>
      <c r="F3" s="18">
        <v>1</v>
      </c>
      <c r="I3" s="22" t="str">
        <f>C1</f>
        <v>PTFC_Core</v>
      </c>
      <c r="J3" s="23"/>
      <c r="K3" s="23"/>
      <c r="L3" s="24"/>
    </row>
    <row r="4" spans="1:12" x14ac:dyDescent="0.3">
      <c r="A4" s="6" t="s">
        <v>2</v>
      </c>
      <c r="B4" s="3" t="s">
        <v>133</v>
      </c>
      <c r="C4" s="18">
        <v>1</v>
      </c>
      <c r="D4" s="18">
        <v>1</v>
      </c>
      <c r="E4" s="18">
        <v>1</v>
      </c>
      <c r="F4" s="18">
        <v>1</v>
      </c>
      <c r="I4" s="9" t="s">
        <v>147</v>
      </c>
      <c r="J4" s="7"/>
      <c r="K4" s="7"/>
      <c r="L4" s="11">
        <f>COUNTA(A2:A142)</f>
        <v>141</v>
      </c>
    </row>
    <row r="5" spans="1:12" ht="15" thickBot="1" x14ac:dyDescent="0.35">
      <c r="A5" s="6" t="s">
        <v>3</v>
      </c>
      <c r="B5" s="3" t="s">
        <v>133</v>
      </c>
      <c r="C5" s="18">
        <v>1</v>
      </c>
      <c r="D5" s="18">
        <v>1</v>
      </c>
      <c r="E5" s="18">
        <v>1</v>
      </c>
      <c r="F5" s="18">
        <v>1</v>
      </c>
      <c r="I5" s="10" t="s">
        <v>148</v>
      </c>
      <c r="J5" s="8"/>
      <c r="K5" s="8"/>
      <c r="L5" s="12">
        <f>SUM(C2:C142)</f>
        <v>127</v>
      </c>
    </row>
    <row r="6" spans="1:12" ht="15" thickBot="1" x14ac:dyDescent="0.35">
      <c r="A6" s="6" t="s">
        <v>4</v>
      </c>
      <c r="B6" s="4" t="s">
        <v>134</v>
      </c>
      <c r="C6" s="18">
        <v>1</v>
      </c>
      <c r="D6" s="18">
        <v>1</v>
      </c>
      <c r="E6" s="18">
        <v>1</v>
      </c>
      <c r="F6" s="18">
        <v>1</v>
      </c>
      <c r="I6" s="13" t="s">
        <v>149</v>
      </c>
      <c r="J6" s="14"/>
      <c r="K6" s="14"/>
      <c r="L6" s="15">
        <f>L5/L4</f>
        <v>0.900709219858156</v>
      </c>
    </row>
    <row r="7" spans="1:12" x14ac:dyDescent="0.3">
      <c r="A7" s="6" t="s">
        <v>5</v>
      </c>
      <c r="B7" s="4" t="s">
        <v>133</v>
      </c>
      <c r="C7" s="18">
        <v>1</v>
      </c>
      <c r="D7" s="18">
        <v>1</v>
      </c>
      <c r="E7" s="18">
        <v>1</v>
      </c>
      <c r="F7" s="18">
        <v>1</v>
      </c>
    </row>
    <row r="8" spans="1:12" ht="15" thickBot="1" x14ac:dyDescent="0.35">
      <c r="A8" s="6" t="s">
        <v>6</v>
      </c>
      <c r="B8" s="4" t="s">
        <v>133</v>
      </c>
      <c r="C8" s="18">
        <v>0</v>
      </c>
      <c r="D8" s="18">
        <v>0</v>
      </c>
      <c r="E8" s="18">
        <v>0</v>
      </c>
      <c r="F8" s="18">
        <v>0</v>
      </c>
    </row>
    <row r="9" spans="1:12" ht="15" thickBot="1" x14ac:dyDescent="0.35">
      <c r="A9" s="6" t="s">
        <v>7</v>
      </c>
      <c r="B9" s="4" t="s">
        <v>133</v>
      </c>
      <c r="C9" s="18">
        <v>1</v>
      </c>
      <c r="D9" s="18">
        <v>1</v>
      </c>
      <c r="E9" s="18">
        <v>1</v>
      </c>
      <c r="F9" s="18">
        <v>1</v>
      </c>
      <c r="I9" s="22" t="str">
        <f>D1</f>
        <v>PTFC_Cfg</v>
      </c>
      <c r="J9" s="23"/>
      <c r="K9" s="23"/>
      <c r="L9" s="24"/>
    </row>
    <row r="10" spans="1:12" x14ac:dyDescent="0.3">
      <c r="A10" s="6" t="s">
        <v>8</v>
      </c>
      <c r="B10" s="4" t="s">
        <v>134</v>
      </c>
      <c r="C10" s="18">
        <v>1</v>
      </c>
      <c r="D10" s="18">
        <v>1</v>
      </c>
      <c r="E10" s="18">
        <v>1</v>
      </c>
      <c r="F10" s="18">
        <v>1</v>
      </c>
      <c r="I10" s="9" t="s">
        <v>147</v>
      </c>
      <c r="J10" s="7"/>
      <c r="K10" s="7"/>
      <c r="L10" s="11">
        <f>COUNTA(A2:A142)</f>
        <v>141</v>
      </c>
    </row>
    <row r="11" spans="1:12" ht="15" thickBot="1" x14ac:dyDescent="0.35">
      <c r="A11" s="6" t="s">
        <v>9</v>
      </c>
      <c r="B11" s="4" t="s">
        <v>133</v>
      </c>
      <c r="C11" s="18">
        <v>1</v>
      </c>
      <c r="D11" s="18">
        <v>1</v>
      </c>
      <c r="E11" s="18">
        <v>1</v>
      </c>
      <c r="F11" s="18">
        <v>1</v>
      </c>
      <c r="I11" s="10" t="s">
        <v>148</v>
      </c>
      <c r="J11" s="8"/>
      <c r="K11" s="8"/>
      <c r="L11" s="12">
        <f>SUM(D2:D142)</f>
        <v>128</v>
      </c>
    </row>
    <row r="12" spans="1:12" ht="15" thickBot="1" x14ac:dyDescent="0.35">
      <c r="A12" s="6" t="s">
        <v>10</v>
      </c>
      <c r="B12" s="4" t="s">
        <v>134</v>
      </c>
      <c r="C12" s="18">
        <v>1</v>
      </c>
      <c r="D12" s="18">
        <v>1</v>
      </c>
      <c r="E12" s="18">
        <v>1</v>
      </c>
      <c r="F12" s="18">
        <v>1</v>
      </c>
      <c r="I12" s="13" t="s">
        <v>149</v>
      </c>
      <c r="J12" s="14"/>
      <c r="K12" s="14"/>
      <c r="L12" s="15">
        <f>L11/L10</f>
        <v>0.90780141843971629</v>
      </c>
    </row>
    <row r="13" spans="1:12" x14ac:dyDescent="0.3">
      <c r="A13" s="6" t="s">
        <v>11</v>
      </c>
      <c r="B13" s="4" t="s">
        <v>134</v>
      </c>
      <c r="C13" s="18">
        <v>1</v>
      </c>
      <c r="D13" s="18">
        <v>1</v>
      </c>
      <c r="E13" s="18">
        <v>1</v>
      </c>
      <c r="F13" s="18">
        <v>1</v>
      </c>
    </row>
    <row r="14" spans="1:12" ht="15" thickBot="1" x14ac:dyDescent="0.35">
      <c r="A14" s="6" t="s">
        <v>12</v>
      </c>
      <c r="B14" s="4" t="s">
        <v>135</v>
      </c>
      <c r="C14" s="18">
        <v>1</v>
      </c>
      <c r="D14" s="18">
        <v>1</v>
      </c>
      <c r="E14" s="18">
        <v>1</v>
      </c>
      <c r="F14" s="18">
        <v>1</v>
      </c>
    </row>
    <row r="15" spans="1:12" ht="15" thickBot="1" x14ac:dyDescent="0.35">
      <c r="A15" s="6" t="s">
        <v>136</v>
      </c>
      <c r="B15" s="20" t="s">
        <v>137</v>
      </c>
      <c r="C15" s="18">
        <v>1</v>
      </c>
      <c r="D15" s="18">
        <v>1</v>
      </c>
      <c r="E15" s="18">
        <v>1</v>
      </c>
      <c r="F15" s="18">
        <v>1</v>
      </c>
      <c r="I15" s="22" t="str">
        <f>E1</f>
        <v>APPL_Core</v>
      </c>
      <c r="J15" s="23"/>
      <c r="K15" s="23"/>
      <c r="L15" s="24"/>
    </row>
    <row r="16" spans="1:12" x14ac:dyDescent="0.3">
      <c r="A16" s="6" t="s">
        <v>13</v>
      </c>
      <c r="B16" s="4" t="s">
        <v>135</v>
      </c>
      <c r="C16" s="18">
        <v>1</v>
      </c>
      <c r="D16" s="18">
        <v>1</v>
      </c>
      <c r="E16" s="18">
        <v>1</v>
      </c>
      <c r="F16" s="18">
        <v>1</v>
      </c>
      <c r="I16" s="9" t="s">
        <v>147</v>
      </c>
      <c r="J16" s="7"/>
      <c r="K16" s="7"/>
      <c r="L16" s="11">
        <f>COUNTA(A2:A142)</f>
        <v>141</v>
      </c>
    </row>
    <row r="17" spans="1:12" ht="15" thickBot="1" x14ac:dyDescent="0.35">
      <c r="A17" s="6" t="s">
        <v>14</v>
      </c>
      <c r="B17" s="4" t="s">
        <v>133</v>
      </c>
      <c r="C17" s="18">
        <v>1</v>
      </c>
      <c r="D17" s="18">
        <v>1</v>
      </c>
      <c r="E17" s="18">
        <v>1</v>
      </c>
      <c r="F17" s="18">
        <v>1</v>
      </c>
      <c r="I17" s="10" t="s">
        <v>148</v>
      </c>
      <c r="J17" s="8"/>
      <c r="K17" s="8"/>
      <c r="L17" s="12">
        <f>SUM(E2:E142)</f>
        <v>130</v>
      </c>
    </row>
    <row r="18" spans="1:12" ht="15" thickBot="1" x14ac:dyDescent="0.35">
      <c r="A18" s="6" t="s">
        <v>15</v>
      </c>
      <c r="B18" s="4" t="s">
        <v>133</v>
      </c>
      <c r="C18" s="18">
        <v>1</v>
      </c>
      <c r="D18" s="18">
        <v>1</v>
      </c>
      <c r="E18" s="18">
        <v>1</v>
      </c>
      <c r="F18" s="18">
        <v>1</v>
      </c>
      <c r="I18" s="13" t="s">
        <v>149</v>
      </c>
      <c r="J18" s="14"/>
      <c r="K18" s="14"/>
      <c r="L18" s="15">
        <f>L17/L16</f>
        <v>0.92198581560283688</v>
      </c>
    </row>
    <row r="19" spans="1:12" x14ac:dyDescent="0.3">
      <c r="A19" s="6" t="s">
        <v>16</v>
      </c>
      <c r="B19" s="4" t="s">
        <v>133</v>
      </c>
      <c r="C19" s="18">
        <v>1</v>
      </c>
      <c r="D19" s="18">
        <v>1</v>
      </c>
      <c r="E19" s="18">
        <v>1</v>
      </c>
      <c r="F19" s="18">
        <v>1</v>
      </c>
    </row>
    <row r="20" spans="1:12" ht="15" thickBot="1" x14ac:dyDescent="0.35">
      <c r="A20" s="6" t="s">
        <v>17</v>
      </c>
      <c r="B20" s="4" t="s">
        <v>133</v>
      </c>
      <c r="C20" s="18">
        <v>1</v>
      </c>
      <c r="D20" s="18">
        <v>1</v>
      </c>
      <c r="E20" s="18">
        <v>1</v>
      </c>
      <c r="F20" s="18">
        <v>1</v>
      </c>
    </row>
    <row r="21" spans="1:12" ht="15" thickBot="1" x14ac:dyDescent="0.35">
      <c r="A21" s="6" t="s">
        <v>18</v>
      </c>
      <c r="B21" s="4" t="s">
        <v>133</v>
      </c>
      <c r="C21" s="18">
        <v>1</v>
      </c>
      <c r="D21" s="18">
        <v>1</v>
      </c>
      <c r="E21" s="18">
        <v>1</v>
      </c>
      <c r="F21" s="18">
        <v>1</v>
      </c>
      <c r="I21" s="22" t="str">
        <f>F1</f>
        <v>APPL_Cfg</v>
      </c>
      <c r="J21" s="23"/>
      <c r="K21" s="23"/>
      <c r="L21" s="24"/>
    </row>
    <row r="22" spans="1:12" x14ac:dyDescent="0.3">
      <c r="A22" s="6" t="s">
        <v>19</v>
      </c>
      <c r="B22" s="4" t="s">
        <v>133</v>
      </c>
      <c r="C22" s="18">
        <v>0</v>
      </c>
      <c r="D22" s="18">
        <v>0</v>
      </c>
      <c r="E22" s="18">
        <v>0</v>
      </c>
      <c r="F22" s="18">
        <v>0</v>
      </c>
      <c r="I22" s="9" t="s">
        <v>147</v>
      </c>
      <c r="J22" s="7"/>
      <c r="K22" s="7"/>
      <c r="L22" s="11">
        <f>COUNTA(A2:A142)</f>
        <v>141</v>
      </c>
    </row>
    <row r="23" spans="1:12" ht="15" thickBot="1" x14ac:dyDescent="0.35">
      <c r="A23" s="6" t="s">
        <v>20</v>
      </c>
      <c r="B23" s="4" t="s">
        <v>133</v>
      </c>
      <c r="C23" s="18">
        <v>1</v>
      </c>
      <c r="D23" s="18">
        <v>1</v>
      </c>
      <c r="E23" s="18">
        <v>1</v>
      </c>
      <c r="F23" s="18">
        <v>1</v>
      </c>
      <c r="I23" s="10" t="s">
        <v>148</v>
      </c>
      <c r="J23" s="8"/>
      <c r="K23" s="8"/>
      <c r="L23" s="12">
        <f>SUM(F2:F142)</f>
        <v>128</v>
      </c>
    </row>
    <row r="24" spans="1:12" ht="15" thickBot="1" x14ac:dyDescent="0.35">
      <c r="A24" s="6" t="s">
        <v>21</v>
      </c>
      <c r="B24" s="4" t="s">
        <v>133</v>
      </c>
      <c r="C24" s="18">
        <v>1</v>
      </c>
      <c r="D24" s="18">
        <v>1</v>
      </c>
      <c r="E24" s="18">
        <v>1</v>
      </c>
      <c r="F24" s="18">
        <v>1</v>
      </c>
      <c r="I24" s="13" t="s">
        <v>149</v>
      </c>
      <c r="J24" s="14"/>
      <c r="K24" s="14"/>
      <c r="L24" s="15">
        <f>L23/L22</f>
        <v>0.90780141843971629</v>
      </c>
    </row>
    <row r="25" spans="1:12" x14ac:dyDescent="0.3">
      <c r="A25" s="6" t="s">
        <v>22</v>
      </c>
      <c r="B25" s="4" t="s">
        <v>133</v>
      </c>
      <c r="C25" s="18">
        <v>1</v>
      </c>
      <c r="D25" s="18">
        <v>1</v>
      </c>
      <c r="E25" s="18">
        <v>1</v>
      </c>
      <c r="F25" s="18">
        <v>1</v>
      </c>
    </row>
    <row r="26" spans="1:12" x14ac:dyDescent="0.3">
      <c r="A26" s="6" t="s">
        <v>23</v>
      </c>
      <c r="B26" s="4" t="s">
        <v>133</v>
      </c>
      <c r="C26" s="18">
        <v>1</v>
      </c>
      <c r="D26" s="18">
        <v>1</v>
      </c>
      <c r="E26" s="18">
        <v>1</v>
      </c>
      <c r="F26" s="18">
        <v>1</v>
      </c>
    </row>
    <row r="27" spans="1:12" x14ac:dyDescent="0.3">
      <c r="A27" s="6" t="s">
        <v>24</v>
      </c>
      <c r="B27" s="4" t="s">
        <v>133</v>
      </c>
      <c r="C27" s="18">
        <v>1</v>
      </c>
      <c r="D27" s="18">
        <v>1</v>
      </c>
      <c r="E27" s="18">
        <v>1</v>
      </c>
      <c r="F27" s="18">
        <v>1</v>
      </c>
    </row>
    <row r="28" spans="1:12" x14ac:dyDescent="0.3">
      <c r="A28" s="6" t="s">
        <v>25</v>
      </c>
      <c r="B28" s="4" t="s">
        <v>133</v>
      </c>
      <c r="C28" s="18">
        <v>1</v>
      </c>
      <c r="D28" s="18">
        <v>1</v>
      </c>
      <c r="E28" s="18">
        <v>1</v>
      </c>
      <c r="F28" s="18">
        <v>1</v>
      </c>
    </row>
    <row r="29" spans="1:12" x14ac:dyDescent="0.3">
      <c r="A29" s="6" t="s">
        <v>26</v>
      </c>
      <c r="B29" s="4" t="s">
        <v>134</v>
      </c>
      <c r="C29" s="18">
        <v>0</v>
      </c>
      <c r="D29" s="18">
        <v>0</v>
      </c>
      <c r="E29" s="18">
        <v>0</v>
      </c>
      <c r="F29" s="18">
        <v>0</v>
      </c>
    </row>
    <row r="30" spans="1:12" x14ac:dyDescent="0.3">
      <c r="A30" s="6" t="s">
        <v>27</v>
      </c>
      <c r="B30" s="4" t="s">
        <v>133</v>
      </c>
      <c r="C30" s="18">
        <v>1</v>
      </c>
      <c r="D30" s="18">
        <v>1</v>
      </c>
      <c r="E30" s="18">
        <v>1</v>
      </c>
      <c r="F30" s="18">
        <v>1</v>
      </c>
    </row>
    <row r="31" spans="1:12" x14ac:dyDescent="0.3">
      <c r="A31" s="6" t="s">
        <v>28</v>
      </c>
      <c r="B31" s="4" t="s">
        <v>133</v>
      </c>
      <c r="C31" s="18">
        <v>1</v>
      </c>
      <c r="D31" s="18">
        <v>1</v>
      </c>
      <c r="E31" s="18">
        <v>1</v>
      </c>
      <c r="F31" s="18">
        <v>1</v>
      </c>
    </row>
    <row r="32" spans="1:12" x14ac:dyDescent="0.3">
      <c r="A32" s="6" t="s">
        <v>29</v>
      </c>
      <c r="B32" s="4" t="s">
        <v>133</v>
      </c>
      <c r="C32" s="18">
        <v>1</v>
      </c>
      <c r="D32" s="18">
        <v>1</v>
      </c>
      <c r="E32" s="18">
        <v>1</v>
      </c>
      <c r="F32" s="18">
        <v>1</v>
      </c>
    </row>
    <row r="33" spans="1:6" x14ac:dyDescent="0.3">
      <c r="A33" s="6" t="s">
        <v>30</v>
      </c>
      <c r="B33" s="4" t="s">
        <v>133</v>
      </c>
      <c r="C33" s="18">
        <v>1</v>
      </c>
      <c r="D33" s="18">
        <v>1</v>
      </c>
      <c r="E33" s="18">
        <v>1</v>
      </c>
      <c r="F33" s="18">
        <v>1</v>
      </c>
    </row>
    <row r="34" spans="1:6" x14ac:dyDescent="0.3">
      <c r="A34" s="6" t="s">
        <v>31</v>
      </c>
      <c r="B34" s="4" t="s">
        <v>133</v>
      </c>
      <c r="C34" s="18">
        <v>1</v>
      </c>
      <c r="D34" s="18">
        <v>1</v>
      </c>
      <c r="E34" s="18">
        <v>1</v>
      </c>
      <c r="F34" s="18">
        <v>1</v>
      </c>
    </row>
    <row r="35" spans="1:6" x14ac:dyDescent="0.3">
      <c r="A35" s="6" t="s">
        <v>32</v>
      </c>
      <c r="B35" s="4" t="s">
        <v>133</v>
      </c>
      <c r="C35" s="18">
        <v>1</v>
      </c>
      <c r="D35" s="18">
        <v>1</v>
      </c>
      <c r="E35" s="18">
        <v>1</v>
      </c>
      <c r="F35" s="18">
        <v>1</v>
      </c>
    </row>
    <row r="36" spans="1:6" x14ac:dyDescent="0.3">
      <c r="A36" s="6" t="s">
        <v>33</v>
      </c>
      <c r="B36" s="4" t="s">
        <v>133</v>
      </c>
      <c r="C36" s="18">
        <v>0</v>
      </c>
      <c r="D36" s="18">
        <v>0</v>
      </c>
      <c r="E36" s="18">
        <v>0</v>
      </c>
      <c r="F36" s="18">
        <v>0</v>
      </c>
    </row>
    <row r="37" spans="1:6" x14ac:dyDescent="0.3">
      <c r="A37" s="6" t="s">
        <v>34</v>
      </c>
      <c r="B37" s="4" t="s">
        <v>133</v>
      </c>
      <c r="C37" s="18">
        <v>1</v>
      </c>
      <c r="D37" s="18">
        <v>1</v>
      </c>
      <c r="E37" s="18">
        <v>1</v>
      </c>
      <c r="F37" s="18">
        <v>1</v>
      </c>
    </row>
    <row r="38" spans="1:6" x14ac:dyDescent="0.3">
      <c r="A38" s="6" t="s">
        <v>35</v>
      </c>
      <c r="B38" s="4" t="s">
        <v>133</v>
      </c>
      <c r="C38" s="18">
        <v>1</v>
      </c>
      <c r="D38" s="18">
        <v>1</v>
      </c>
      <c r="E38" s="18">
        <v>1</v>
      </c>
      <c r="F38" s="18">
        <v>1</v>
      </c>
    </row>
    <row r="39" spans="1:6" x14ac:dyDescent="0.3">
      <c r="A39" s="6" t="s">
        <v>36</v>
      </c>
      <c r="B39" s="4" t="s">
        <v>133</v>
      </c>
      <c r="C39" s="18">
        <v>1</v>
      </c>
      <c r="D39" s="18">
        <v>1</v>
      </c>
      <c r="E39" s="18">
        <v>1</v>
      </c>
      <c r="F39" s="18">
        <v>1</v>
      </c>
    </row>
    <row r="40" spans="1:6" x14ac:dyDescent="0.3">
      <c r="A40" s="6" t="s">
        <v>37</v>
      </c>
      <c r="B40" s="4" t="s">
        <v>133</v>
      </c>
      <c r="C40" s="18">
        <v>1</v>
      </c>
      <c r="D40" s="18">
        <v>1</v>
      </c>
      <c r="E40" s="18">
        <v>1</v>
      </c>
      <c r="F40" s="18">
        <v>1</v>
      </c>
    </row>
    <row r="41" spans="1:6" x14ac:dyDescent="0.3">
      <c r="A41" s="6" t="s">
        <v>38</v>
      </c>
      <c r="B41" s="4" t="s">
        <v>133</v>
      </c>
      <c r="C41" s="18">
        <v>1</v>
      </c>
      <c r="D41" s="18">
        <v>1</v>
      </c>
      <c r="E41" s="18">
        <v>1</v>
      </c>
      <c r="F41" s="18">
        <v>1</v>
      </c>
    </row>
    <row r="42" spans="1:6" x14ac:dyDescent="0.3">
      <c r="A42" s="6" t="s">
        <v>39</v>
      </c>
      <c r="B42" s="4" t="s">
        <v>133</v>
      </c>
      <c r="C42" s="18">
        <v>1</v>
      </c>
      <c r="D42" s="18">
        <v>1</v>
      </c>
      <c r="E42" s="18">
        <v>1</v>
      </c>
      <c r="F42" s="18">
        <v>1</v>
      </c>
    </row>
    <row r="43" spans="1:6" x14ac:dyDescent="0.3">
      <c r="A43" s="6" t="s">
        <v>138</v>
      </c>
      <c r="B43" s="20" t="s">
        <v>137</v>
      </c>
      <c r="C43" s="18">
        <v>1</v>
      </c>
      <c r="D43" s="18">
        <v>1</v>
      </c>
      <c r="E43" s="18">
        <v>1</v>
      </c>
      <c r="F43" s="18">
        <v>1</v>
      </c>
    </row>
    <row r="44" spans="1:6" x14ac:dyDescent="0.3">
      <c r="A44" s="6" t="s">
        <v>40</v>
      </c>
      <c r="B44" s="4" t="s">
        <v>133</v>
      </c>
      <c r="C44" s="18">
        <v>1</v>
      </c>
      <c r="D44" s="18">
        <v>1</v>
      </c>
      <c r="E44" s="18">
        <v>1</v>
      </c>
      <c r="F44" s="18">
        <v>1</v>
      </c>
    </row>
    <row r="45" spans="1:6" x14ac:dyDescent="0.3">
      <c r="A45" s="6" t="s">
        <v>41</v>
      </c>
      <c r="B45" s="4" t="s">
        <v>133</v>
      </c>
      <c r="C45" s="18">
        <v>1</v>
      </c>
      <c r="D45" s="18">
        <v>1</v>
      </c>
      <c r="E45" s="18">
        <v>1</v>
      </c>
      <c r="F45" s="18">
        <v>1</v>
      </c>
    </row>
    <row r="46" spans="1:6" x14ac:dyDescent="0.3">
      <c r="A46" s="6" t="s">
        <v>42</v>
      </c>
      <c r="B46" s="4" t="s">
        <v>133</v>
      </c>
      <c r="C46" s="18">
        <v>0</v>
      </c>
      <c r="D46" s="18">
        <v>0</v>
      </c>
      <c r="E46" s="18">
        <v>0</v>
      </c>
      <c r="F46" s="18">
        <v>0</v>
      </c>
    </row>
    <row r="47" spans="1:6" x14ac:dyDescent="0.3">
      <c r="A47" s="6" t="s">
        <v>43</v>
      </c>
      <c r="B47" s="4" t="s">
        <v>133</v>
      </c>
      <c r="C47" s="18">
        <v>1</v>
      </c>
      <c r="D47" s="18">
        <v>0</v>
      </c>
      <c r="E47" s="18">
        <v>1</v>
      </c>
      <c r="F47" s="18">
        <v>1</v>
      </c>
    </row>
    <row r="48" spans="1:6" x14ac:dyDescent="0.3">
      <c r="A48" s="6" t="s">
        <v>44</v>
      </c>
      <c r="B48" s="4" t="s">
        <v>133</v>
      </c>
      <c r="C48" s="18">
        <v>1</v>
      </c>
      <c r="D48" s="18">
        <v>1</v>
      </c>
      <c r="E48" s="18">
        <v>1</v>
      </c>
      <c r="F48" s="18">
        <v>1</v>
      </c>
    </row>
    <row r="49" spans="1:6" x14ac:dyDescent="0.3">
      <c r="A49" s="6" t="s">
        <v>139</v>
      </c>
      <c r="B49" s="20" t="s">
        <v>137</v>
      </c>
      <c r="C49" s="18">
        <v>0</v>
      </c>
      <c r="D49" s="18">
        <v>0</v>
      </c>
      <c r="E49" s="18">
        <v>0</v>
      </c>
      <c r="F49" s="18">
        <v>0</v>
      </c>
    </row>
    <row r="50" spans="1:6" x14ac:dyDescent="0.3">
      <c r="A50" s="6" t="s">
        <v>45</v>
      </c>
      <c r="B50" s="4" t="s">
        <v>133</v>
      </c>
      <c r="C50" s="18">
        <v>1</v>
      </c>
      <c r="D50" s="18">
        <v>1</v>
      </c>
      <c r="E50" s="18">
        <v>1</v>
      </c>
      <c r="F50" s="18">
        <v>1</v>
      </c>
    </row>
    <row r="51" spans="1:6" x14ac:dyDescent="0.3">
      <c r="A51" s="6" t="s">
        <v>46</v>
      </c>
      <c r="B51" s="4" t="s">
        <v>133</v>
      </c>
      <c r="C51" s="18">
        <v>1</v>
      </c>
      <c r="D51" s="18">
        <v>1</v>
      </c>
      <c r="E51" s="18">
        <v>1</v>
      </c>
      <c r="F51" s="18">
        <v>1</v>
      </c>
    </row>
    <row r="52" spans="1:6" x14ac:dyDescent="0.3">
      <c r="A52" s="6" t="s">
        <v>146</v>
      </c>
      <c r="B52" s="20" t="s">
        <v>137</v>
      </c>
      <c r="C52" s="18">
        <v>1</v>
      </c>
      <c r="D52" s="18">
        <v>1</v>
      </c>
      <c r="E52" s="18">
        <v>1</v>
      </c>
      <c r="F52" s="18">
        <v>1</v>
      </c>
    </row>
    <row r="53" spans="1:6" x14ac:dyDescent="0.3">
      <c r="A53" s="6" t="s">
        <v>47</v>
      </c>
      <c r="B53" s="4" t="s">
        <v>133</v>
      </c>
      <c r="C53" s="18">
        <v>0</v>
      </c>
      <c r="D53" s="18">
        <v>0</v>
      </c>
      <c r="E53" s="18">
        <v>1</v>
      </c>
      <c r="F53" s="18">
        <v>0</v>
      </c>
    </row>
    <row r="54" spans="1:6" x14ac:dyDescent="0.3">
      <c r="A54" s="6" t="s">
        <v>48</v>
      </c>
      <c r="B54" s="4" t="s">
        <v>133</v>
      </c>
      <c r="C54" s="18">
        <v>1</v>
      </c>
      <c r="D54" s="18">
        <v>1</v>
      </c>
      <c r="E54" s="18">
        <v>1</v>
      </c>
      <c r="F54" s="18">
        <v>1</v>
      </c>
    </row>
    <row r="55" spans="1:6" x14ac:dyDescent="0.3">
      <c r="A55" s="6" t="s">
        <v>49</v>
      </c>
      <c r="B55" s="4" t="s">
        <v>134</v>
      </c>
      <c r="C55" s="18">
        <v>0</v>
      </c>
      <c r="D55" s="18">
        <v>1</v>
      </c>
      <c r="E55" s="18">
        <v>1</v>
      </c>
      <c r="F55" s="18">
        <v>1</v>
      </c>
    </row>
    <row r="56" spans="1:6" x14ac:dyDescent="0.3">
      <c r="A56" s="6" t="s">
        <v>50</v>
      </c>
      <c r="B56" s="4" t="s">
        <v>134</v>
      </c>
      <c r="C56" s="18">
        <v>0</v>
      </c>
      <c r="D56" s="18">
        <v>0</v>
      </c>
      <c r="E56" s="18">
        <v>1</v>
      </c>
      <c r="F56" s="18">
        <v>0</v>
      </c>
    </row>
    <row r="57" spans="1:6" x14ac:dyDescent="0.3">
      <c r="A57" s="6" t="s">
        <v>51</v>
      </c>
      <c r="B57" s="4" t="s">
        <v>133</v>
      </c>
      <c r="C57" s="18">
        <v>1</v>
      </c>
      <c r="D57" s="18">
        <v>1</v>
      </c>
      <c r="E57" s="18">
        <v>1</v>
      </c>
      <c r="F57" s="18">
        <v>1</v>
      </c>
    </row>
    <row r="58" spans="1:6" x14ac:dyDescent="0.3">
      <c r="A58" s="6" t="s">
        <v>52</v>
      </c>
      <c r="B58" s="4" t="s">
        <v>133</v>
      </c>
      <c r="C58" s="18">
        <v>1</v>
      </c>
      <c r="D58" s="18">
        <v>1</v>
      </c>
      <c r="E58" s="18">
        <v>1</v>
      </c>
      <c r="F58" s="18">
        <v>1</v>
      </c>
    </row>
    <row r="59" spans="1:6" x14ac:dyDescent="0.3">
      <c r="A59" s="6" t="s">
        <v>53</v>
      </c>
      <c r="B59" s="4" t="s">
        <v>133</v>
      </c>
      <c r="C59" s="18">
        <v>1</v>
      </c>
      <c r="D59" s="18">
        <v>1</v>
      </c>
      <c r="E59" s="18">
        <v>1</v>
      </c>
      <c r="F59" s="18">
        <v>1</v>
      </c>
    </row>
    <row r="60" spans="1:6" x14ac:dyDescent="0.3">
      <c r="A60" s="6" t="s">
        <v>54</v>
      </c>
      <c r="B60" s="4" t="s">
        <v>133</v>
      </c>
      <c r="C60" s="18">
        <v>1</v>
      </c>
      <c r="D60" s="18">
        <v>1</v>
      </c>
      <c r="E60" s="18">
        <v>1</v>
      </c>
      <c r="F60" s="18">
        <v>1</v>
      </c>
    </row>
    <row r="61" spans="1:6" x14ac:dyDescent="0.3">
      <c r="A61" s="6" t="s">
        <v>55</v>
      </c>
      <c r="B61" s="4" t="s">
        <v>133</v>
      </c>
      <c r="C61" s="18">
        <v>1</v>
      </c>
      <c r="D61" s="18">
        <v>1</v>
      </c>
      <c r="E61" s="18">
        <v>1</v>
      </c>
      <c r="F61" s="18">
        <v>1</v>
      </c>
    </row>
    <row r="62" spans="1:6" x14ac:dyDescent="0.3">
      <c r="A62" s="6" t="s">
        <v>56</v>
      </c>
      <c r="B62" s="4" t="s">
        <v>133</v>
      </c>
      <c r="C62" s="18">
        <v>1</v>
      </c>
      <c r="D62" s="18">
        <v>1</v>
      </c>
      <c r="E62" s="18">
        <v>1</v>
      </c>
      <c r="F62" s="18">
        <v>1</v>
      </c>
    </row>
    <row r="63" spans="1:6" x14ac:dyDescent="0.3">
      <c r="A63" s="6" t="s">
        <v>57</v>
      </c>
      <c r="B63" s="4" t="s">
        <v>133</v>
      </c>
      <c r="C63" s="18">
        <v>0</v>
      </c>
      <c r="D63" s="18">
        <v>1</v>
      </c>
      <c r="E63" s="18">
        <v>0</v>
      </c>
      <c r="F63" s="18">
        <v>0</v>
      </c>
    </row>
    <row r="64" spans="1:6" x14ac:dyDescent="0.3">
      <c r="A64" s="6" t="s">
        <v>58</v>
      </c>
      <c r="B64" s="4" t="s">
        <v>133</v>
      </c>
      <c r="C64" s="18">
        <v>0</v>
      </c>
      <c r="D64" s="18">
        <v>0</v>
      </c>
      <c r="E64" s="18">
        <v>0</v>
      </c>
      <c r="F64" s="18">
        <v>0</v>
      </c>
    </row>
    <row r="65" spans="1:6" x14ac:dyDescent="0.3">
      <c r="A65" s="6" t="s">
        <v>59</v>
      </c>
      <c r="B65" s="4" t="s">
        <v>133</v>
      </c>
      <c r="C65" s="18">
        <v>1</v>
      </c>
      <c r="D65" s="18">
        <v>1</v>
      </c>
      <c r="E65" s="18">
        <v>1</v>
      </c>
      <c r="F65" s="18">
        <v>1</v>
      </c>
    </row>
    <row r="66" spans="1:6" x14ac:dyDescent="0.3">
      <c r="A66" s="6" t="s">
        <v>60</v>
      </c>
      <c r="B66" s="4" t="s">
        <v>133</v>
      </c>
      <c r="C66" s="18">
        <v>1</v>
      </c>
      <c r="D66" s="18">
        <v>1</v>
      </c>
      <c r="E66" s="18">
        <v>1</v>
      </c>
      <c r="F66" s="18">
        <v>1</v>
      </c>
    </row>
    <row r="67" spans="1:6" x14ac:dyDescent="0.3">
      <c r="A67" s="6" t="s">
        <v>61</v>
      </c>
      <c r="B67" s="4" t="s">
        <v>133</v>
      </c>
      <c r="C67" s="18">
        <v>1</v>
      </c>
      <c r="D67" s="18">
        <v>1</v>
      </c>
      <c r="E67" s="18">
        <v>1</v>
      </c>
      <c r="F67" s="18">
        <v>1</v>
      </c>
    </row>
    <row r="68" spans="1:6" x14ac:dyDescent="0.3">
      <c r="A68" s="6" t="s">
        <v>62</v>
      </c>
      <c r="B68" s="4" t="s">
        <v>133</v>
      </c>
      <c r="C68" s="18">
        <v>1</v>
      </c>
      <c r="D68" s="18">
        <v>1</v>
      </c>
      <c r="E68" s="18">
        <v>1</v>
      </c>
      <c r="F68" s="18">
        <v>1</v>
      </c>
    </row>
    <row r="69" spans="1:6" x14ac:dyDescent="0.3">
      <c r="A69" s="6" t="s">
        <v>63</v>
      </c>
      <c r="B69" s="4" t="s">
        <v>134</v>
      </c>
      <c r="C69" s="18">
        <v>1</v>
      </c>
      <c r="D69" s="18">
        <v>1</v>
      </c>
      <c r="E69" s="18">
        <v>1</v>
      </c>
      <c r="F69" s="18">
        <v>1</v>
      </c>
    </row>
    <row r="70" spans="1:6" x14ac:dyDescent="0.3">
      <c r="A70" s="6" t="s">
        <v>140</v>
      </c>
      <c r="B70" s="20" t="s">
        <v>137</v>
      </c>
      <c r="C70" s="18">
        <v>1</v>
      </c>
      <c r="D70" s="18">
        <v>1</v>
      </c>
      <c r="E70" s="18">
        <v>1</v>
      </c>
      <c r="F70" s="18">
        <v>1</v>
      </c>
    </row>
    <row r="71" spans="1:6" x14ac:dyDescent="0.3">
      <c r="A71" s="6" t="s">
        <v>64</v>
      </c>
      <c r="B71" s="4" t="s">
        <v>133</v>
      </c>
      <c r="C71" s="18">
        <v>1</v>
      </c>
      <c r="D71" s="18">
        <v>1</v>
      </c>
      <c r="E71" s="18">
        <v>1</v>
      </c>
      <c r="F71" s="18">
        <v>1</v>
      </c>
    </row>
    <row r="72" spans="1:6" x14ac:dyDescent="0.3">
      <c r="A72" s="6" t="s">
        <v>65</v>
      </c>
      <c r="B72" s="4" t="s">
        <v>133</v>
      </c>
      <c r="C72" s="18">
        <v>1</v>
      </c>
      <c r="D72" s="18">
        <v>1</v>
      </c>
      <c r="E72" s="18">
        <v>1</v>
      </c>
      <c r="F72" s="18">
        <v>1</v>
      </c>
    </row>
    <row r="73" spans="1:6" x14ac:dyDescent="0.3">
      <c r="A73" s="6" t="s">
        <v>66</v>
      </c>
      <c r="B73" s="4" t="s">
        <v>133</v>
      </c>
      <c r="C73" s="18">
        <v>1</v>
      </c>
      <c r="D73" s="18">
        <v>1</v>
      </c>
      <c r="E73" s="18">
        <v>1</v>
      </c>
      <c r="F73" s="18">
        <v>1</v>
      </c>
    </row>
    <row r="74" spans="1:6" x14ac:dyDescent="0.3">
      <c r="A74" s="6" t="s">
        <v>67</v>
      </c>
      <c r="B74" s="4" t="s">
        <v>133</v>
      </c>
      <c r="C74" s="18">
        <v>1</v>
      </c>
      <c r="D74" s="18">
        <v>1</v>
      </c>
      <c r="E74" s="18">
        <v>1</v>
      </c>
      <c r="F74" s="18">
        <v>1</v>
      </c>
    </row>
    <row r="75" spans="1:6" x14ac:dyDescent="0.3">
      <c r="A75" s="6" t="s">
        <v>68</v>
      </c>
      <c r="B75" s="4" t="s">
        <v>133</v>
      </c>
      <c r="C75" s="18">
        <v>1</v>
      </c>
      <c r="D75" s="18">
        <v>1</v>
      </c>
      <c r="E75" s="18">
        <v>1</v>
      </c>
      <c r="F75" s="18">
        <v>1</v>
      </c>
    </row>
    <row r="76" spans="1:6" x14ac:dyDescent="0.3">
      <c r="A76" s="6" t="s">
        <v>69</v>
      </c>
      <c r="B76" s="4" t="s">
        <v>135</v>
      </c>
      <c r="C76" s="18">
        <v>1</v>
      </c>
      <c r="D76" s="18">
        <v>1</v>
      </c>
      <c r="E76" s="18">
        <v>1</v>
      </c>
      <c r="F76" s="18">
        <v>1</v>
      </c>
    </row>
    <row r="77" spans="1:6" x14ac:dyDescent="0.3">
      <c r="A77" s="6" t="s">
        <v>141</v>
      </c>
      <c r="B77" s="20" t="s">
        <v>137</v>
      </c>
      <c r="C77" s="18">
        <v>1</v>
      </c>
      <c r="D77" s="18">
        <v>1</v>
      </c>
      <c r="E77" s="18">
        <v>1</v>
      </c>
      <c r="F77" s="18">
        <v>1</v>
      </c>
    </row>
    <row r="78" spans="1:6" x14ac:dyDescent="0.3">
      <c r="A78" s="6" t="s">
        <v>70</v>
      </c>
      <c r="B78" s="4" t="s">
        <v>133</v>
      </c>
      <c r="C78" s="18">
        <v>1</v>
      </c>
      <c r="D78" s="18">
        <v>1</v>
      </c>
      <c r="E78" s="18">
        <v>1</v>
      </c>
      <c r="F78" s="18">
        <v>1</v>
      </c>
    </row>
    <row r="79" spans="1:6" x14ac:dyDescent="0.3">
      <c r="A79" s="6" t="s">
        <v>71</v>
      </c>
      <c r="B79" s="4" t="s">
        <v>133</v>
      </c>
      <c r="C79" s="18">
        <v>1</v>
      </c>
      <c r="D79" s="18">
        <v>1</v>
      </c>
      <c r="E79" s="18">
        <v>1</v>
      </c>
      <c r="F79" s="18">
        <v>1</v>
      </c>
    </row>
    <row r="80" spans="1:6" x14ac:dyDescent="0.3">
      <c r="A80" s="6" t="s">
        <v>72</v>
      </c>
      <c r="B80" s="4" t="s">
        <v>133</v>
      </c>
      <c r="C80" s="18">
        <v>1</v>
      </c>
      <c r="D80" s="18">
        <v>1</v>
      </c>
      <c r="E80" s="18">
        <v>1</v>
      </c>
      <c r="F80" s="18">
        <v>1</v>
      </c>
    </row>
    <row r="81" spans="1:6" x14ac:dyDescent="0.3">
      <c r="A81" s="6" t="s">
        <v>73</v>
      </c>
      <c r="B81" s="4" t="s">
        <v>133</v>
      </c>
      <c r="C81" s="18">
        <v>1</v>
      </c>
      <c r="D81" s="18">
        <v>1</v>
      </c>
      <c r="E81" s="18">
        <v>1</v>
      </c>
      <c r="F81" s="18">
        <v>1</v>
      </c>
    </row>
    <row r="82" spans="1:6" x14ac:dyDescent="0.3">
      <c r="A82" s="6" t="s">
        <v>74</v>
      </c>
      <c r="B82" s="4" t="s">
        <v>133</v>
      </c>
      <c r="C82" s="18">
        <v>1</v>
      </c>
      <c r="D82" s="18">
        <v>1</v>
      </c>
      <c r="E82" s="18">
        <v>1</v>
      </c>
      <c r="F82" s="18">
        <v>1</v>
      </c>
    </row>
    <row r="83" spans="1:6" x14ac:dyDescent="0.3">
      <c r="A83" s="6" t="s">
        <v>142</v>
      </c>
      <c r="B83" s="20" t="s">
        <v>137</v>
      </c>
      <c r="C83" s="18">
        <v>1</v>
      </c>
      <c r="D83" s="18">
        <v>1</v>
      </c>
      <c r="E83" s="18">
        <v>1</v>
      </c>
      <c r="F83" s="18">
        <v>1</v>
      </c>
    </row>
    <row r="84" spans="1:6" x14ac:dyDescent="0.3">
      <c r="A84" s="6" t="s">
        <v>75</v>
      </c>
      <c r="B84" s="4" t="s">
        <v>135</v>
      </c>
      <c r="C84" s="18">
        <v>1</v>
      </c>
      <c r="D84" s="18">
        <v>1</v>
      </c>
      <c r="E84" s="18">
        <v>1</v>
      </c>
      <c r="F84" s="18">
        <v>1</v>
      </c>
    </row>
    <row r="85" spans="1:6" x14ac:dyDescent="0.3">
      <c r="A85" s="6" t="s">
        <v>76</v>
      </c>
      <c r="B85" s="4" t="s">
        <v>133</v>
      </c>
      <c r="C85" s="18">
        <v>1</v>
      </c>
      <c r="D85" s="18">
        <v>1</v>
      </c>
      <c r="E85" s="18">
        <v>1</v>
      </c>
      <c r="F85" s="18">
        <v>1</v>
      </c>
    </row>
    <row r="86" spans="1:6" x14ac:dyDescent="0.3">
      <c r="A86" s="6" t="s">
        <v>77</v>
      </c>
      <c r="B86" s="4" t="s">
        <v>133</v>
      </c>
      <c r="C86" s="18">
        <v>1</v>
      </c>
      <c r="D86" s="18">
        <v>1</v>
      </c>
      <c r="E86" s="18">
        <v>1</v>
      </c>
      <c r="F86" s="18">
        <v>1</v>
      </c>
    </row>
    <row r="87" spans="1:6" x14ac:dyDescent="0.3">
      <c r="A87" s="6" t="s">
        <v>78</v>
      </c>
      <c r="B87" s="4" t="s">
        <v>133</v>
      </c>
      <c r="C87" s="18">
        <v>1</v>
      </c>
      <c r="D87" s="18">
        <v>1</v>
      </c>
      <c r="E87" s="18">
        <v>1</v>
      </c>
      <c r="F87" s="18">
        <v>1</v>
      </c>
    </row>
    <row r="88" spans="1:6" x14ac:dyDescent="0.3">
      <c r="A88" s="6" t="s">
        <v>79</v>
      </c>
      <c r="B88" s="4" t="s">
        <v>133</v>
      </c>
      <c r="C88" s="18">
        <v>1</v>
      </c>
      <c r="D88" s="18">
        <v>1</v>
      </c>
      <c r="E88" s="18">
        <v>1</v>
      </c>
      <c r="F88" s="18">
        <v>1</v>
      </c>
    </row>
    <row r="89" spans="1:6" x14ac:dyDescent="0.3">
      <c r="A89" s="6" t="s">
        <v>80</v>
      </c>
      <c r="B89" s="4" t="s">
        <v>135</v>
      </c>
      <c r="C89" s="18">
        <v>1</v>
      </c>
      <c r="D89" s="18">
        <v>1</v>
      </c>
      <c r="E89" s="18">
        <v>1</v>
      </c>
      <c r="F89" s="18">
        <v>1</v>
      </c>
    </row>
    <row r="90" spans="1:6" x14ac:dyDescent="0.3">
      <c r="A90" s="6" t="s">
        <v>81</v>
      </c>
      <c r="B90" s="4" t="s">
        <v>133</v>
      </c>
      <c r="C90" s="18">
        <v>1</v>
      </c>
      <c r="D90" s="18">
        <v>1</v>
      </c>
      <c r="E90" s="18">
        <v>1</v>
      </c>
      <c r="F90" s="18">
        <v>1</v>
      </c>
    </row>
    <row r="91" spans="1:6" x14ac:dyDescent="0.3">
      <c r="A91" s="6" t="s">
        <v>82</v>
      </c>
      <c r="B91" s="4" t="s">
        <v>133</v>
      </c>
      <c r="C91" s="18">
        <v>1</v>
      </c>
      <c r="D91" s="18">
        <v>1</v>
      </c>
      <c r="E91" s="18">
        <v>1</v>
      </c>
      <c r="F91" s="18">
        <v>1</v>
      </c>
    </row>
    <row r="92" spans="1:6" x14ac:dyDescent="0.3">
      <c r="A92" s="6" t="s">
        <v>83</v>
      </c>
      <c r="B92" s="4" t="s">
        <v>133</v>
      </c>
      <c r="C92" s="18">
        <v>1</v>
      </c>
      <c r="D92" s="18">
        <v>1</v>
      </c>
      <c r="E92" s="18">
        <v>1</v>
      </c>
      <c r="F92" s="18">
        <v>1</v>
      </c>
    </row>
    <row r="93" spans="1:6" x14ac:dyDescent="0.3">
      <c r="A93" s="6" t="s">
        <v>84</v>
      </c>
      <c r="B93" s="4" t="s">
        <v>133</v>
      </c>
      <c r="C93" s="18">
        <v>1</v>
      </c>
      <c r="D93" s="18">
        <v>1</v>
      </c>
      <c r="E93" s="18">
        <v>1</v>
      </c>
      <c r="F93" s="18">
        <v>1</v>
      </c>
    </row>
    <row r="94" spans="1:6" x14ac:dyDescent="0.3">
      <c r="A94" s="6" t="s">
        <v>85</v>
      </c>
      <c r="B94" s="4" t="s">
        <v>133</v>
      </c>
      <c r="C94" s="18">
        <v>1</v>
      </c>
      <c r="D94" s="18">
        <v>1</v>
      </c>
      <c r="E94" s="18">
        <v>1</v>
      </c>
      <c r="F94" s="18">
        <v>1</v>
      </c>
    </row>
    <row r="95" spans="1:6" x14ac:dyDescent="0.3">
      <c r="A95" s="6" t="s">
        <v>86</v>
      </c>
      <c r="B95" s="4" t="s">
        <v>133</v>
      </c>
      <c r="C95" s="18">
        <v>1</v>
      </c>
      <c r="D95" s="18">
        <v>1</v>
      </c>
      <c r="E95" s="18">
        <v>1</v>
      </c>
      <c r="F95" s="18">
        <v>1</v>
      </c>
    </row>
    <row r="96" spans="1:6" x14ac:dyDescent="0.3">
      <c r="A96" s="6" t="s">
        <v>87</v>
      </c>
      <c r="B96" s="4" t="s">
        <v>133</v>
      </c>
      <c r="C96" s="18">
        <v>1</v>
      </c>
      <c r="D96" s="18">
        <v>1</v>
      </c>
      <c r="E96" s="18">
        <v>1</v>
      </c>
      <c r="F96" s="18">
        <v>1</v>
      </c>
    </row>
    <row r="97" spans="1:6" x14ac:dyDescent="0.3">
      <c r="A97" s="6" t="s">
        <v>88</v>
      </c>
      <c r="B97" s="4" t="s">
        <v>133</v>
      </c>
      <c r="C97" s="18">
        <v>1</v>
      </c>
      <c r="D97" s="18">
        <v>1</v>
      </c>
      <c r="E97" s="18">
        <v>1</v>
      </c>
      <c r="F97" s="18">
        <v>1</v>
      </c>
    </row>
    <row r="98" spans="1:6" x14ac:dyDescent="0.3">
      <c r="A98" s="6" t="s">
        <v>89</v>
      </c>
      <c r="B98" s="4" t="s">
        <v>133</v>
      </c>
      <c r="C98" s="18">
        <v>1</v>
      </c>
      <c r="D98" s="18">
        <v>1</v>
      </c>
      <c r="E98" s="18">
        <v>1</v>
      </c>
      <c r="F98" s="18">
        <v>1</v>
      </c>
    </row>
    <row r="99" spans="1:6" x14ac:dyDescent="0.3">
      <c r="A99" s="6" t="s">
        <v>90</v>
      </c>
      <c r="B99" s="4" t="s">
        <v>134</v>
      </c>
      <c r="C99" s="18">
        <v>1</v>
      </c>
      <c r="D99" s="18">
        <v>1</v>
      </c>
      <c r="E99" s="18">
        <v>1</v>
      </c>
      <c r="F99" s="18">
        <v>1</v>
      </c>
    </row>
    <row r="100" spans="1:6" x14ac:dyDescent="0.3">
      <c r="A100" s="6" t="s">
        <v>91</v>
      </c>
      <c r="B100" s="4" t="s">
        <v>133</v>
      </c>
      <c r="C100" s="18">
        <v>1</v>
      </c>
      <c r="D100" s="18">
        <v>1</v>
      </c>
      <c r="E100" s="18">
        <v>1</v>
      </c>
      <c r="F100" s="18">
        <v>1</v>
      </c>
    </row>
    <row r="101" spans="1:6" x14ac:dyDescent="0.3">
      <c r="A101" s="6" t="s">
        <v>92</v>
      </c>
      <c r="B101" s="4" t="s">
        <v>133</v>
      </c>
      <c r="C101" s="18">
        <v>1</v>
      </c>
      <c r="D101" s="18">
        <v>1</v>
      </c>
      <c r="E101" s="18">
        <v>1</v>
      </c>
      <c r="F101" s="18">
        <v>1</v>
      </c>
    </row>
    <row r="102" spans="1:6" x14ac:dyDescent="0.3">
      <c r="A102" s="6" t="s">
        <v>93</v>
      </c>
      <c r="B102" s="4" t="s">
        <v>133</v>
      </c>
      <c r="C102" s="18">
        <v>1</v>
      </c>
      <c r="D102" s="18">
        <v>1</v>
      </c>
      <c r="E102" s="18">
        <v>1</v>
      </c>
      <c r="F102" s="18">
        <v>1</v>
      </c>
    </row>
    <row r="103" spans="1:6" x14ac:dyDescent="0.3">
      <c r="A103" s="6" t="s">
        <v>94</v>
      </c>
      <c r="B103" s="4" t="s">
        <v>133</v>
      </c>
      <c r="C103" s="18">
        <v>1</v>
      </c>
      <c r="D103" s="18">
        <v>1</v>
      </c>
      <c r="E103" s="18">
        <v>1</v>
      </c>
      <c r="F103" s="18">
        <v>1</v>
      </c>
    </row>
    <row r="104" spans="1:6" x14ac:dyDescent="0.3">
      <c r="A104" s="6" t="s">
        <v>95</v>
      </c>
      <c r="B104" s="4" t="s">
        <v>135</v>
      </c>
      <c r="C104" s="18">
        <v>1</v>
      </c>
      <c r="D104" s="18">
        <v>1</v>
      </c>
      <c r="E104" s="18">
        <v>1</v>
      </c>
      <c r="F104" s="18">
        <v>1</v>
      </c>
    </row>
    <row r="105" spans="1:6" x14ac:dyDescent="0.3">
      <c r="A105" s="6" t="s">
        <v>96</v>
      </c>
      <c r="B105" s="4" t="s">
        <v>133</v>
      </c>
      <c r="C105" s="18">
        <v>1</v>
      </c>
      <c r="D105" s="18">
        <v>1</v>
      </c>
      <c r="E105" s="18">
        <v>1</v>
      </c>
      <c r="F105" s="18">
        <v>1</v>
      </c>
    </row>
    <row r="106" spans="1:6" x14ac:dyDescent="0.3">
      <c r="A106" s="6" t="s">
        <v>97</v>
      </c>
      <c r="B106" s="4" t="s">
        <v>135</v>
      </c>
      <c r="C106" s="18">
        <v>0</v>
      </c>
      <c r="D106" s="18">
        <v>0</v>
      </c>
      <c r="E106" s="18">
        <v>0</v>
      </c>
      <c r="F106" s="18">
        <v>0</v>
      </c>
    </row>
    <row r="107" spans="1:6" x14ac:dyDescent="0.3">
      <c r="A107" s="6" t="s">
        <v>98</v>
      </c>
      <c r="B107" s="4" t="s">
        <v>135</v>
      </c>
      <c r="C107" s="18">
        <v>1</v>
      </c>
      <c r="D107" s="18">
        <v>1</v>
      </c>
      <c r="E107" s="18">
        <v>1</v>
      </c>
      <c r="F107" s="18">
        <v>1</v>
      </c>
    </row>
    <row r="108" spans="1:6" x14ac:dyDescent="0.3">
      <c r="A108" s="6" t="s">
        <v>99</v>
      </c>
      <c r="B108" s="4" t="s">
        <v>133</v>
      </c>
      <c r="C108" s="18">
        <v>1</v>
      </c>
      <c r="D108" s="18">
        <v>1</v>
      </c>
      <c r="E108" s="18">
        <v>1</v>
      </c>
      <c r="F108" s="18">
        <v>1</v>
      </c>
    </row>
    <row r="109" spans="1:6" x14ac:dyDescent="0.3">
      <c r="A109" s="6" t="s">
        <v>100</v>
      </c>
      <c r="B109" s="4" t="s">
        <v>133</v>
      </c>
      <c r="C109" s="18">
        <v>1</v>
      </c>
      <c r="D109" s="18">
        <v>1</v>
      </c>
      <c r="E109" s="18">
        <v>1</v>
      </c>
      <c r="F109" s="18">
        <v>1</v>
      </c>
    </row>
    <row r="110" spans="1:6" x14ac:dyDescent="0.3">
      <c r="A110" s="6" t="s">
        <v>101</v>
      </c>
      <c r="B110" s="4" t="s">
        <v>135</v>
      </c>
      <c r="C110" s="18">
        <v>1</v>
      </c>
      <c r="D110" s="18">
        <v>1</v>
      </c>
      <c r="E110" s="18">
        <v>1</v>
      </c>
      <c r="F110" s="18">
        <v>1</v>
      </c>
    </row>
    <row r="111" spans="1:6" x14ac:dyDescent="0.3">
      <c r="A111" s="6" t="s">
        <v>102</v>
      </c>
      <c r="B111" s="4" t="s">
        <v>135</v>
      </c>
      <c r="C111" s="18">
        <v>1</v>
      </c>
      <c r="D111" s="18">
        <v>1</v>
      </c>
      <c r="E111" s="18">
        <v>1</v>
      </c>
      <c r="F111" s="18">
        <v>1</v>
      </c>
    </row>
    <row r="112" spans="1:6" x14ac:dyDescent="0.3">
      <c r="A112" s="6" t="s">
        <v>103</v>
      </c>
      <c r="B112" s="4" t="s">
        <v>135</v>
      </c>
      <c r="C112" s="18">
        <v>0</v>
      </c>
      <c r="D112" s="18">
        <v>0</v>
      </c>
      <c r="E112" s="18">
        <v>0</v>
      </c>
      <c r="F112" s="18">
        <v>0</v>
      </c>
    </row>
    <row r="113" spans="1:6" x14ac:dyDescent="0.3">
      <c r="A113" s="6" t="s">
        <v>104</v>
      </c>
      <c r="B113" s="4" t="s">
        <v>134</v>
      </c>
      <c r="C113" s="18">
        <v>1</v>
      </c>
      <c r="D113" s="18">
        <v>1</v>
      </c>
      <c r="E113" s="18">
        <v>1</v>
      </c>
      <c r="F113" s="18">
        <v>1</v>
      </c>
    </row>
    <row r="114" spans="1:6" x14ac:dyDescent="0.3">
      <c r="A114" s="6" t="s">
        <v>105</v>
      </c>
      <c r="B114" s="4" t="s">
        <v>134</v>
      </c>
      <c r="C114" s="18">
        <v>1</v>
      </c>
      <c r="D114" s="18">
        <v>1</v>
      </c>
      <c r="E114" s="18">
        <v>1</v>
      </c>
      <c r="F114" s="18">
        <v>1</v>
      </c>
    </row>
    <row r="115" spans="1:6" x14ac:dyDescent="0.3">
      <c r="A115" s="6" t="s">
        <v>106</v>
      </c>
      <c r="B115" s="4" t="s">
        <v>133</v>
      </c>
      <c r="C115" s="18">
        <v>1</v>
      </c>
      <c r="D115" s="18">
        <v>1</v>
      </c>
      <c r="E115" s="18">
        <v>1</v>
      </c>
      <c r="F115" s="18">
        <v>1</v>
      </c>
    </row>
    <row r="116" spans="1:6" x14ac:dyDescent="0.3">
      <c r="A116" s="6" t="s">
        <v>107</v>
      </c>
      <c r="B116" s="4" t="s">
        <v>133</v>
      </c>
      <c r="C116" s="18">
        <v>1</v>
      </c>
      <c r="D116" s="18">
        <v>1</v>
      </c>
      <c r="E116" s="18">
        <v>1</v>
      </c>
      <c r="F116" s="18">
        <v>1</v>
      </c>
    </row>
    <row r="117" spans="1:6" x14ac:dyDescent="0.3">
      <c r="A117" s="6" t="s">
        <v>108</v>
      </c>
      <c r="B117" s="4" t="s">
        <v>133</v>
      </c>
      <c r="C117" s="18">
        <v>1</v>
      </c>
      <c r="D117" s="18">
        <v>1</v>
      </c>
      <c r="E117" s="18">
        <v>1</v>
      </c>
      <c r="F117" s="18">
        <v>1</v>
      </c>
    </row>
    <row r="118" spans="1:6" x14ac:dyDescent="0.3">
      <c r="A118" s="6" t="s">
        <v>109</v>
      </c>
      <c r="B118" s="4" t="s">
        <v>133</v>
      </c>
      <c r="C118" s="18">
        <v>1</v>
      </c>
      <c r="D118" s="18">
        <v>1</v>
      </c>
      <c r="E118" s="18">
        <v>1</v>
      </c>
      <c r="F118" s="18">
        <v>1</v>
      </c>
    </row>
    <row r="119" spans="1:6" x14ac:dyDescent="0.3">
      <c r="A119" s="6" t="s">
        <v>110</v>
      </c>
      <c r="B119" s="4" t="s">
        <v>134</v>
      </c>
      <c r="C119" s="18">
        <v>1</v>
      </c>
      <c r="D119" s="18">
        <v>1</v>
      </c>
      <c r="E119" s="18">
        <v>1</v>
      </c>
      <c r="F119" s="18">
        <v>1</v>
      </c>
    </row>
    <row r="120" spans="1:6" x14ac:dyDescent="0.3">
      <c r="A120" s="6" t="s">
        <v>111</v>
      </c>
      <c r="B120" s="4" t="s">
        <v>133</v>
      </c>
      <c r="C120" s="18">
        <v>1</v>
      </c>
      <c r="D120" s="18">
        <v>1</v>
      </c>
      <c r="E120" s="18">
        <v>1</v>
      </c>
      <c r="F120" s="18">
        <v>1</v>
      </c>
    </row>
    <row r="121" spans="1:6" x14ac:dyDescent="0.3">
      <c r="A121" s="6" t="s">
        <v>112</v>
      </c>
      <c r="B121" s="4" t="s">
        <v>133</v>
      </c>
      <c r="C121" s="18">
        <v>1</v>
      </c>
      <c r="D121" s="18">
        <v>1</v>
      </c>
      <c r="E121" s="18">
        <v>1</v>
      </c>
      <c r="F121" s="18">
        <v>1</v>
      </c>
    </row>
    <row r="122" spans="1:6" x14ac:dyDescent="0.3">
      <c r="A122" s="6" t="s">
        <v>113</v>
      </c>
      <c r="B122" s="4" t="s">
        <v>133</v>
      </c>
      <c r="C122" s="18">
        <v>1</v>
      </c>
      <c r="D122" s="18">
        <v>1</v>
      </c>
      <c r="E122" s="18">
        <v>1</v>
      </c>
      <c r="F122" s="18">
        <v>1</v>
      </c>
    </row>
    <row r="123" spans="1:6" x14ac:dyDescent="0.3">
      <c r="A123" s="6" t="s">
        <v>114</v>
      </c>
      <c r="B123" s="4" t="s">
        <v>133</v>
      </c>
      <c r="C123" s="18">
        <v>1</v>
      </c>
      <c r="D123" s="18">
        <v>1</v>
      </c>
      <c r="E123" s="18">
        <v>1</v>
      </c>
      <c r="F123" s="18">
        <v>1</v>
      </c>
    </row>
    <row r="124" spans="1:6" x14ac:dyDescent="0.3">
      <c r="A124" s="6" t="s">
        <v>115</v>
      </c>
      <c r="B124" s="4" t="s">
        <v>135</v>
      </c>
      <c r="C124" s="18">
        <v>1</v>
      </c>
      <c r="D124" s="18">
        <v>1</v>
      </c>
      <c r="E124" s="18">
        <v>1</v>
      </c>
      <c r="F124" s="18">
        <v>1</v>
      </c>
    </row>
    <row r="125" spans="1:6" x14ac:dyDescent="0.3">
      <c r="A125" s="6" t="s">
        <v>116</v>
      </c>
      <c r="B125" s="4" t="s">
        <v>135</v>
      </c>
      <c r="C125" s="18">
        <v>1</v>
      </c>
      <c r="D125" s="18">
        <v>1</v>
      </c>
      <c r="E125" s="18">
        <v>1</v>
      </c>
      <c r="F125" s="18">
        <v>1</v>
      </c>
    </row>
    <row r="126" spans="1:6" x14ac:dyDescent="0.3">
      <c r="A126" s="6" t="s">
        <v>117</v>
      </c>
      <c r="B126" s="4" t="s">
        <v>133</v>
      </c>
      <c r="C126" s="18">
        <v>1</v>
      </c>
      <c r="D126" s="18">
        <v>1</v>
      </c>
      <c r="E126" s="18">
        <v>1</v>
      </c>
      <c r="F126" s="18">
        <v>1</v>
      </c>
    </row>
    <row r="127" spans="1:6" x14ac:dyDescent="0.3">
      <c r="A127" s="6" t="s">
        <v>143</v>
      </c>
      <c r="B127" s="20" t="s">
        <v>137</v>
      </c>
      <c r="C127" s="18">
        <v>1</v>
      </c>
      <c r="D127" s="18">
        <v>1</v>
      </c>
      <c r="E127" s="18">
        <v>1</v>
      </c>
      <c r="F127" s="18">
        <v>1</v>
      </c>
    </row>
    <row r="128" spans="1:6" x14ac:dyDescent="0.3">
      <c r="A128" s="6" t="s">
        <v>144</v>
      </c>
      <c r="B128" s="20" t="s">
        <v>137</v>
      </c>
      <c r="C128" s="18">
        <v>1</v>
      </c>
      <c r="D128" s="18">
        <v>1</v>
      </c>
      <c r="E128" s="18">
        <v>1</v>
      </c>
      <c r="F128" s="18">
        <v>1</v>
      </c>
    </row>
    <row r="129" spans="1:6" x14ac:dyDescent="0.3">
      <c r="A129" s="6" t="s">
        <v>145</v>
      </c>
      <c r="B129" s="20" t="s">
        <v>137</v>
      </c>
      <c r="C129" s="18">
        <v>1</v>
      </c>
      <c r="D129" s="18">
        <v>1</v>
      </c>
      <c r="E129" s="18">
        <v>1</v>
      </c>
      <c r="F129" s="18">
        <v>1</v>
      </c>
    </row>
    <row r="130" spans="1:6" x14ac:dyDescent="0.3">
      <c r="A130" s="6" t="s">
        <v>118</v>
      </c>
      <c r="B130" s="4" t="s">
        <v>133</v>
      </c>
      <c r="C130" s="18">
        <v>1</v>
      </c>
      <c r="D130" s="18">
        <v>1</v>
      </c>
      <c r="E130" s="18">
        <v>1</v>
      </c>
      <c r="F130" s="18">
        <v>1</v>
      </c>
    </row>
    <row r="131" spans="1:6" x14ac:dyDescent="0.3">
      <c r="A131" s="6" t="s">
        <v>119</v>
      </c>
      <c r="B131" s="4" t="s">
        <v>133</v>
      </c>
      <c r="C131" s="18">
        <v>1</v>
      </c>
      <c r="D131" s="18">
        <v>1</v>
      </c>
      <c r="E131" s="18">
        <v>1</v>
      </c>
      <c r="F131" s="18">
        <v>1</v>
      </c>
    </row>
    <row r="132" spans="1:6" x14ac:dyDescent="0.3">
      <c r="A132" s="6" t="s">
        <v>120</v>
      </c>
      <c r="B132" s="4" t="s">
        <v>133</v>
      </c>
      <c r="C132" s="18">
        <v>1</v>
      </c>
      <c r="D132" s="18">
        <v>1</v>
      </c>
      <c r="E132" s="18">
        <v>1</v>
      </c>
      <c r="F132" s="18">
        <v>1</v>
      </c>
    </row>
    <row r="133" spans="1:6" x14ac:dyDescent="0.3">
      <c r="A133" s="6" t="s">
        <v>121</v>
      </c>
      <c r="B133" s="4" t="s">
        <v>135</v>
      </c>
      <c r="C133" s="18">
        <v>1</v>
      </c>
      <c r="D133" s="18">
        <v>1</v>
      </c>
      <c r="E133" s="18">
        <v>1</v>
      </c>
      <c r="F133" s="18">
        <v>1</v>
      </c>
    </row>
    <row r="134" spans="1:6" x14ac:dyDescent="0.3">
      <c r="A134" s="6" t="s">
        <v>122</v>
      </c>
      <c r="B134" s="4" t="s">
        <v>133</v>
      </c>
      <c r="C134" s="18">
        <v>1</v>
      </c>
      <c r="D134" s="18">
        <v>1</v>
      </c>
      <c r="E134" s="18">
        <v>1</v>
      </c>
      <c r="F134" s="18">
        <v>1</v>
      </c>
    </row>
    <row r="135" spans="1:6" x14ac:dyDescent="0.3">
      <c r="A135" s="6" t="s">
        <v>123</v>
      </c>
      <c r="B135" s="4" t="s">
        <v>133</v>
      </c>
      <c r="C135" s="18">
        <v>1</v>
      </c>
      <c r="D135" s="18">
        <v>1</v>
      </c>
      <c r="E135" s="18">
        <v>1</v>
      </c>
      <c r="F135" s="18">
        <v>1</v>
      </c>
    </row>
    <row r="136" spans="1:6" x14ac:dyDescent="0.3">
      <c r="A136" s="6" t="s">
        <v>124</v>
      </c>
      <c r="B136" s="4" t="s">
        <v>133</v>
      </c>
      <c r="C136" s="18">
        <v>1</v>
      </c>
      <c r="D136" s="18">
        <v>1</v>
      </c>
      <c r="E136" s="18">
        <v>1</v>
      </c>
      <c r="F136" s="18">
        <v>1</v>
      </c>
    </row>
    <row r="137" spans="1:6" x14ac:dyDescent="0.3">
      <c r="A137" s="6" t="s">
        <v>125</v>
      </c>
      <c r="B137" s="4" t="s">
        <v>133</v>
      </c>
      <c r="C137" s="18">
        <v>1</v>
      </c>
      <c r="D137" s="18">
        <v>1</v>
      </c>
      <c r="E137" s="18">
        <v>1</v>
      </c>
      <c r="F137" s="18">
        <v>1</v>
      </c>
    </row>
    <row r="138" spans="1:6" x14ac:dyDescent="0.3">
      <c r="A138" s="6" t="s">
        <v>126</v>
      </c>
      <c r="B138" s="4" t="s">
        <v>135</v>
      </c>
      <c r="C138" s="18">
        <v>1</v>
      </c>
      <c r="D138" s="18">
        <v>1</v>
      </c>
      <c r="E138" s="18">
        <v>1</v>
      </c>
      <c r="F138" s="18">
        <v>1</v>
      </c>
    </row>
    <row r="139" spans="1:6" x14ac:dyDescent="0.3">
      <c r="A139" s="6" t="s">
        <v>127</v>
      </c>
      <c r="B139" s="4" t="s">
        <v>135</v>
      </c>
      <c r="C139" s="18">
        <v>1</v>
      </c>
      <c r="D139" s="18">
        <v>1</v>
      </c>
      <c r="E139" s="18">
        <v>1</v>
      </c>
      <c r="F139" s="18">
        <v>1</v>
      </c>
    </row>
    <row r="140" spans="1:6" x14ac:dyDescent="0.3">
      <c r="A140" s="6" t="s">
        <v>128</v>
      </c>
      <c r="B140" s="4" t="s">
        <v>135</v>
      </c>
      <c r="C140" s="18">
        <v>1</v>
      </c>
      <c r="D140" s="18">
        <v>1</v>
      </c>
      <c r="E140" s="18">
        <v>1</v>
      </c>
      <c r="F140" s="18">
        <v>1</v>
      </c>
    </row>
    <row r="141" spans="1:6" x14ac:dyDescent="0.3">
      <c r="A141" s="6" t="s">
        <v>129</v>
      </c>
      <c r="B141" s="4" t="s">
        <v>133</v>
      </c>
      <c r="C141" s="18">
        <v>1</v>
      </c>
      <c r="D141" s="18">
        <v>1</v>
      </c>
      <c r="E141" s="18">
        <v>1</v>
      </c>
      <c r="F141" s="18">
        <v>1</v>
      </c>
    </row>
    <row r="142" spans="1:6" x14ac:dyDescent="0.3">
      <c r="A142" s="6" t="s">
        <v>130</v>
      </c>
      <c r="B142" s="4" t="s">
        <v>133</v>
      </c>
      <c r="C142" s="18">
        <v>1</v>
      </c>
      <c r="D142" s="18">
        <v>1</v>
      </c>
      <c r="E142" s="18">
        <v>1</v>
      </c>
      <c r="F142" s="18">
        <v>1</v>
      </c>
    </row>
  </sheetData>
  <mergeCells count="4">
    <mergeCell ref="I3:L3"/>
    <mergeCell ref="I9:L9"/>
    <mergeCell ref="I15:L15"/>
    <mergeCell ref="I21:L21"/>
  </mergeCells>
  <conditionalFormatting sqref="C139:C142 C2:C7">
    <cfRule type="colorScale" priority="6">
      <colorScale>
        <cfvo type="num" val="0"/>
        <cfvo type="num" val="1"/>
        <color rgb="FFFF0000"/>
        <color rgb="FF00B050"/>
      </colorScale>
    </cfRule>
  </conditionalFormatting>
  <conditionalFormatting sqref="D2:D4 E140:F140 F130:F139 D141:F142">
    <cfRule type="colorScale" priority="5">
      <colorScale>
        <cfvo type="num" val="0"/>
        <cfvo type="num" val="1"/>
        <color rgb="FFFF0000"/>
        <color rgb="FF00B050"/>
      </colorScale>
    </cfRule>
  </conditionalFormatting>
  <conditionalFormatting sqref="C8:C138">
    <cfRule type="colorScale" priority="4">
      <colorScale>
        <cfvo type="num" val="0"/>
        <cfvo type="num" val="1"/>
        <color rgb="FFFF0000"/>
        <color rgb="FF00B050"/>
      </colorScale>
    </cfRule>
  </conditionalFormatting>
  <conditionalFormatting sqref="D5:D140">
    <cfRule type="colorScale" priority="3">
      <colorScale>
        <cfvo type="num" val="0"/>
        <cfvo type="num" val="1"/>
        <color rgb="FFFF0000"/>
        <color rgb="FF00B050"/>
      </colorScale>
    </cfRule>
  </conditionalFormatting>
  <conditionalFormatting sqref="E2:E139">
    <cfRule type="colorScale" priority="2">
      <colorScale>
        <cfvo type="num" val="0"/>
        <cfvo type="num" val="1"/>
        <color rgb="FFFF0000"/>
        <color rgb="FF00B050"/>
      </colorScale>
    </cfRule>
  </conditionalFormatting>
  <conditionalFormatting sqref="F2:F129">
    <cfRule type="colorScale" priority="1">
      <colorScale>
        <cfvo type="num" val="0"/>
        <cfvo type="num" val="1"/>
        <color rgb="FFFF0000"/>
        <color rgb="FF00B05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Riepilogo Alfa</vt:lpstr>
      <vt:lpstr>Dettaglio Alfa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2015-09-08T09:51:35Z</dcterms:modified>
</cp:coreProperties>
</file>